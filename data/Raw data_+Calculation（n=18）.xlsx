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3"/>
  </bookViews>
  <sheets>
    <sheet name="original_data" sheetId="1" r:id="rId1"/>
    <sheet name="mean_sd" sheetId="2" r:id="rId2"/>
    <sheet name="test" sheetId="3" r:id="rId3"/>
    <sheet name=" calculate pool s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<sst xmlns="http://schemas.openxmlformats.org/spreadsheetml/2006/main" count="1682" uniqueCount="371">
  <si>
    <t>Sample</t>
  </si>
  <si>
    <t>ID</t>
  </si>
  <si>
    <t>Temperature</t>
  </si>
  <si>
    <t>Nitrogen content (mg/100g)</t>
  </si>
  <si>
    <t>TVBN</t>
  </si>
  <si>
    <t>m-weight(g)</t>
  </si>
  <si>
    <t>v0-water_add_volumn(mL)</t>
  </si>
  <si>
    <t>v-supernatant  volume(mL)</t>
  </si>
  <si>
    <t>c-Standard acid concentration (mol/L)</t>
  </si>
  <si>
    <t>v2-Blank titration volume (mL)</t>
  </si>
  <si>
    <t>v1-Sample titration volume (mL)</t>
  </si>
  <si>
    <t>Biological_parallelism</t>
  </si>
  <si>
    <t>Technical_parallelism</t>
  </si>
  <si>
    <t>chicken</t>
  </si>
  <si>
    <t>C_40_1_1</t>
  </si>
  <si>
    <t>C_40_1</t>
  </si>
  <si>
    <t>1</t>
  </si>
  <si>
    <t>C_40_1_2</t>
  </si>
  <si>
    <t>2</t>
  </si>
  <si>
    <t>C_40_1_3</t>
  </si>
  <si>
    <t>3</t>
  </si>
  <si>
    <t>C_40_2_1</t>
  </si>
  <si>
    <t>C_40_2</t>
  </si>
  <si>
    <t>C_40_2_2</t>
  </si>
  <si>
    <t>C_40_2_3</t>
  </si>
  <si>
    <t>C_40_3_1</t>
  </si>
  <si>
    <t>C_40_3</t>
  </si>
  <si>
    <t>C_40_3_2</t>
  </si>
  <si>
    <t>C_40_3_3</t>
  </si>
  <si>
    <t>C_40_4_1</t>
  </si>
  <si>
    <t>C_40_4</t>
  </si>
  <si>
    <t>C_40_4_2</t>
  </si>
  <si>
    <t>C_40_4_3</t>
  </si>
  <si>
    <t>C_40_5_1</t>
  </si>
  <si>
    <t>C_40_5</t>
  </si>
  <si>
    <t>C_40_5_2</t>
  </si>
  <si>
    <t>C_40_5_3</t>
  </si>
  <si>
    <t>C_40_6_1</t>
  </si>
  <si>
    <t>C_40_6</t>
  </si>
  <si>
    <t>C_40_6_2</t>
  </si>
  <si>
    <t>C_40_6_3</t>
  </si>
  <si>
    <t>pork</t>
  </si>
  <si>
    <t>P_40_1_1</t>
  </si>
  <si>
    <t>P_40_1</t>
  </si>
  <si>
    <t>P_40_1_2</t>
  </si>
  <si>
    <t>P_40_1_3</t>
  </si>
  <si>
    <t>P_40_2_1</t>
  </si>
  <si>
    <t>P_40_2</t>
  </si>
  <si>
    <t>P_40_2_2</t>
  </si>
  <si>
    <t>P_40_2_3</t>
  </si>
  <si>
    <t>P_40_3_1</t>
  </si>
  <si>
    <t>P_40_3</t>
  </si>
  <si>
    <t>P_40_3_2</t>
  </si>
  <si>
    <t>P_40_3_3</t>
  </si>
  <si>
    <t>P_40_4_1</t>
  </si>
  <si>
    <t>P_40_4</t>
  </si>
  <si>
    <t>P_40_4_2</t>
  </si>
  <si>
    <t>P_40_4_3</t>
  </si>
  <si>
    <t>P_40_5_1</t>
  </si>
  <si>
    <t>P_40_5</t>
  </si>
  <si>
    <t>P_40_5_2</t>
  </si>
  <si>
    <t>P_40_5_3</t>
  </si>
  <si>
    <t>P_40_6_1</t>
  </si>
  <si>
    <t>P_40_6</t>
  </si>
  <si>
    <t>P_40_6_2</t>
  </si>
  <si>
    <t>P_40_6_3</t>
  </si>
  <si>
    <t>P_40_7_1</t>
  </si>
  <si>
    <t>P_40_7</t>
  </si>
  <si>
    <t>P_40_7_2</t>
  </si>
  <si>
    <t>P_40_7_3</t>
  </si>
  <si>
    <t>beef</t>
  </si>
  <si>
    <t>B_40_1_1</t>
  </si>
  <si>
    <t>B_40_1</t>
  </si>
  <si>
    <t>B_40_1_2</t>
  </si>
  <si>
    <t>B_40_1_3</t>
  </si>
  <si>
    <t>B_40_2_1</t>
  </si>
  <si>
    <t>B_40_2</t>
  </si>
  <si>
    <t>B_40_2_2</t>
  </si>
  <si>
    <t>B_40_2_3</t>
  </si>
  <si>
    <t>B_40_3_1</t>
  </si>
  <si>
    <t>B_40_3</t>
  </si>
  <si>
    <t>B_40_3_2</t>
  </si>
  <si>
    <t>B_40_3_3</t>
  </si>
  <si>
    <t>B_40_4_1</t>
  </si>
  <si>
    <t>B_40_4</t>
  </si>
  <si>
    <t>B_40_4_2</t>
  </si>
  <si>
    <t>B_40_4_3</t>
  </si>
  <si>
    <t>B_40_5_1</t>
  </si>
  <si>
    <t>B_40_5</t>
  </si>
  <si>
    <t>B_40_5_2</t>
  </si>
  <si>
    <t>B_40_5_3</t>
  </si>
  <si>
    <t>B_40_6_1</t>
  </si>
  <si>
    <t>B_40_6</t>
  </si>
  <si>
    <t>B_40_6_2</t>
  </si>
  <si>
    <t>B_40_6_3</t>
  </si>
  <si>
    <t>B_40_7_1</t>
  </si>
  <si>
    <t>B_40_7</t>
  </si>
  <si>
    <t>B_40_7_2</t>
  </si>
  <si>
    <t>B_40_7_3</t>
  </si>
  <si>
    <t>C_30_1_1</t>
  </si>
  <si>
    <t>C_30_1</t>
  </si>
  <si>
    <t>C_30_1_2</t>
  </si>
  <si>
    <t>C_30_1_3</t>
  </si>
  <si>
    <t>C_30_2_1</t>
  </si>
  <si>
    <t>C_30_2</t>
  </si>
  <si>
    <t>C_30_2_2</t>
  </si>
  <si>
    <t>C_30_2_3</t>
  </si>
  <si>
    <t>C_30_3_1</t>
  </si>
  <si>
    <t>C_30_3</t>
  </si>
  <si>
    <t>C_30_3_2</t>
  </si>
  <si>
    <t>C_30_3_3</t>
  </si>
  <si>
    <t>C_30_4_1</t>
  </si>
  <si>
    <t>C_30_4</t>
  </si>
  <si>
    <t>C_30_4_2</t>
  </si>
  <si>
    <t>C_30_4_3</t>
  </si>
  <si>
    <t>C_30_5_1</t>
  </si>
  <si>
    <t>C_30_5</t>
  </si>
  <si>
    <t>C_30_5_2</t>
  </si>
  <si>
    <t>C_30_5_3</t>
  </si>
  <si>
    <t>C_30_6_1</t>
  </si>
  <si>
    <t>C_30_6</t>
  </si>
  <si>
    <t>C_30_6_2</t>
  </si>
  <si>
    <t>C_30_6_3</t>
  </si>
  <si>
    <t>P_30_1_1</t>
  </si>
  <si>
    <t>P_30_1</t>
  </si>
  <si>
    <t>P_30_1_2</t>
  </si>
  <si>
    <t>P_30_1_3</t>
  </si>
  <si>
    <t>P_30_2_1</t>
  </si>
  <si>
    <t>P_30_2</t>
  </si>
  <si>
    <t>P_30_2_2</t>
  </si>
  <si>
    <t>P_30_2_3</t>
  </si>
  <si>
    <t>P_30_3_1</t>
  </si>
  <si>
    <t>P_30_3</t>
  </si>
  <si>
    <t>P_30_3_2</t>
  </si>
  <si>
    <t>P_30_3_3</t>
  </si>
  <si>
    <t>P_30_4_1</t>
  </si>
  <si>
    <t>P_30_4</t>
  </si>
  <si>
    <t>P_30_4_2</t>
  </si>
  <si>
    <t>P_30_4_3</t>
  </si>
  <si>
    <t>P_30_5_1</t>
  </si>
  <si>
    <t>P_30_5</t>
  </si>
  <si>
    <t>P_30_5_2</t>
  </si>
  <si>
    <t>P_30_5_3</t>
  </si>
  <si>
    <t>P_30_6_1</t>
  </si>
  <si>
    <t>P_30_6</t>
  </si>
  <si>
    <t>P_30_6_2</t>
  </si>
  <si>
    <t>P_30_6_3</t>
  </si>
  <si>
    <t>B_30_1_1</t>
  </si>
  <si>
    <t>B_30_1</t>
  </si>
  <si>
    <t>B_30_1_2</t>
  </si>
  <si>
    <t>B_30_1_3</t>
  </si>
  <si>
    <t>B_30_2_1</t>
  </si>
  <si>
    <t>B_30_2</t>
  </si>
  <si>
    <t>B_30_2_2</t>
  </si>
  <si>
    <t>B_30_2_3</t>
  </si>
  <si>
    <t>B_30_3_1</t>
  </si>
  <si>
    <t>B_30_3</t>
  </si>
  <si>
    <t>B_30_3_2</t>
  </si>
  <si>
    <t>B_30_3_3</t>
  </si>
  <si>
    <t>B_30_4_1</t>
  </si>
  <si>
    <t>B_30_4</t>
  </si>
  <si>
    <t>B_30_4_2</t>
  </si>
  <si>
    <t>B_30_4_3</t>
  </si>
  <si>
    <t>B_30_5_1</t>
  </si>
  <si>
    <t>B_30_5</t>
  </si>
  <si>
    <t>B_30_5_2</t>
  </si>
  <si>
    <t>B_30_5_3</t>
  </si>
  <si>
    <t>B_30_6_1</t>
  </si>
  <si>
    <t>B_30_6</t>
  </si>
  <si>
    <t>B_30_6_2</t>
  </si>
  <si>
    <t>B_30_6_3</t>
  </si>
  <si>
    <t>B_25_1_1</t>
  </si>
  <si>
    <t>B_25_1</t>
  </si>
  <si>
    <t>B_25_1_2</t>
  </si>
  <si>
    <t>B_25_1_3</t>
  </si>
  <si>
    <t>B_25_2_1</t>
  </si>
  <si>
    <t>B_25_2</t>
  </si>
  <si>
    <t>B_25_2_2</t>
  </si>
  <si>
    <t>B_25_2_3</t>
  </si>
  <si>
    <t>B_25_3_1</t>
  </si>
  <si>
    <t>B_25_3</t>
  </si>
  <si>
    <t>B_25_3_2</t>
  </si>
  <si>
    <t>B_25_3_3</t>
  </si>
  <si>
    <t>B_25_4_1</t>
  </si>
  <si>
    <t>B_25_4</t>
  </si>
  <si>
    <t>B_25_4_2</t>
  </si>
  <si>
    <t>B_25_4_3</t>
  </si>
  <si>
    <t>B_25_5_1</t>
  </si>
  <si>
    <t>B_25_5</t>
  </si>
  <si>
    <t>B_25_5_2</t>
  </si>
  <si>
    <t>B_25_5_3</t>
  </si>
  <si>
    <t>B_25_6_1</t>
  </si>
  <si>
    <t>B_25_6</t>
  </si>
  <si>
    <t>B_25_6_2</t>
  </si>
  <si>
    <t>B_25_6_3</t>
  </si>
  <si>
    <t>P_25_1_1</t>
  </si>
  <si>
    <t>P_25_1</t>
  </si>
  <si>
    <t>P_25_1_2</t>
  </si>
  <si>
    <t>P_25_1_3</t>
  </si>
  <si>
    <t>P_25_2_1</t>
  </si>
  <si>
    <t>P_25_2</t>
  </si>
  <si>
    <t>P_25_2_2</t>
  </si>
  <si>
    <t>P_25_2_3</t>
  </si>
  <si>
    <t>P_25_3_1</t>
  </si>
  <si>
    <t>P_25_3</t>
  </si>
  <si>
    <t>P_25_3_2</t>
  </si>
  <si>
    <t>P_25_3_3</t>
  </si>
  <si>
    <t>P_25_4_1</t>
  </si>
  <si>
    <t>P_25_4</t>
  </si>
  <si>
    <t>P_25_4_2</t>
  </si>
  <si>
    <t>P_25_4_3</t>
  </si>
  <si>
    <t>P_25_5_1</t>
  </si>
  <si>
    <t>P_25_5</t>
  </si>
  <si>
    <t>P_25_5_2</t>
  </si>
  <si>
    <t>P_25_5_3</t>
  </si>
  <si>
    <t>P_25_6_1</t>
  </si>
  <si>
    <t>P_25_6</t>
  </si>
  <si>
    <t>P_25_6_2</t>
  </si>
  <si>
    <t>P_25_6_3</t>
  </si>
  <si>
    <t>C_25_1_1</t>
  </si>
  <si>
    <t>C_25_1</t>
  </si>
  <si>
    <t>C_25_1_2</t>
  </si>
  <si>
    <t>C_25_1_3</t>
  </si>
  <si>
    <t>C_25_2_1</t>
  </si>
  <si>
    <t>C_25_2</t>
  </si>
  <si>
    <t>C_25_2_2</t>
  </si>
  <si>
    <t>C_25_2_3</t>
  </si>
  <si>
    <t>C_25_3_1</t>
  </si>
  <si>
    <t>C_25_3</t>
  </si>
  <si>
    <t>C_25_3_2</t>
  </si>
  <si>
    <t>C_25_3_3</t>
  </si>
  <si>
    <t>C_25_4_1</t>
  </si>
  <si>
    <t>C_25_4</t>
  </si>
  <si>
    <t>C_25_4_2</t>
  </si>
  <si>
    <t>C_25_4_3</t>
  </si>
  <si>
    <t>C_25_5_1</t>
  </si>
  <si>
    <t>C_25_5</t>
  </si>
  <si>
    <t>C_25_5_2</t>
  </si>
  <si>
    <t>C_25_5_3</t>
  </si>
  <si>
    <t>C_25_6_1</t>
  </si>
  <si>
    <t>C_25_6</t>
  </si>
  <si>
    <t>C_25_6_2</t>
  </si>
  <si>
    <t>C_25_6_3</t>
  </si>
  <si>
    <t>B_15_1_1</t>
  </si>
  <si>
    <t>B_15_1</t>
  </si>
  <si>
    <t>B_15_1_2</t>
  </si>
  <si>
    <t>B_15_1_3</t>
  </si>
  <si>
    <t>B_15_2_1</t>
  </si>
  <si>
    <t>B_15_2</t>
  </si>
  <si>
    <t>B_15_2_2</t>
  </si>
  <si>
    <t>B_15_2_3</t>
  </si>
  <si>
    <t>B_15_3_1</t>
  </si>
  <si>
    <t>B_15_3</t>
  </si>
  <si>
    <t>B_15_3_2</t>
  </si>
  <si>
    <t>B_15_3_3</t>
  </si>
  <si>
    <t>B_15_4_1</t>
  </si>
  <si>
    <t>B_15_4</t>
  </si>
  <si>
    <t>B_15_4_2</t>
  </si>
  <si>
    <t>B_15_4_3</t>
  </si>
  <si>
    <t>B_15_5_1</t>
  </si>
  <si>
    <t>B_15_5</t>
  </si>
  <si>
    <t>B_15_5_2</t>
  </si>
  <si>
    <t>B_15_5_3</t>
  </si>
  <si>
    <t>B_15_6_1</t>
  </si>
  <si>
    <t>B_15_6</t>
  </si>
  <si>
    <t>B_15_6_2</t>
  </si>
  <si>
    <t>B_15_6_3</t>
  </si>
  <si>
    <t>P_15_1_1</t>
  </si>
  <si>
    <t>P_15_1</t>
  </si>
  <si>
    <t>P_15_1_2</t>
  </si>
  <si>
    <t>P_15_1_3</t>
  </si>
  <si>
    <t>P_15_2_1</t>
  </si>
  <si>
    <t>P_15_2</t>
  </si>
  <si>
    <t>P_15_2_2</t>
  </si>
  <si>
    <t>P_15_2_3</t>
  </si>
  <si>
    <t>P_15_3_1</t>
  </si>
  <si>
    <t>P_15_3</t>
  </si>
  <si>
    <t>P_15_3_2</t>
  </si>
  <si>
    <t>P_15_3_3</t>
  </si>
  <si>
    <t>P_15_4_1</t>
  </si>
  <si>
    <t>P_15_4</t>
  </si>
  <si>
    <t>P_15_4_2</t>
  </si>
  <si>
    <t>P_15_4_3</t>
  </si>
  <si>
    <t>P_15_5_1</t>
  </si>
  <si>
    <t>P_15_5</t>
  </si>
  <si>
    <t>P_15_5_2</t>
  </si>
  <si>
    <t>P_15_5_3</t>
  </si>
  <si>
    <t>P_15_6_1</t>
  </si>
  <si>
    <t>P_15_6</t>
  </si>
  <si>
    <t>P_15_6_2</t>
  </si>
  <si>
    <t>P_15_6_3</t>
  </si>
  <si>
    <t>C_15_1_1</t>
  </si>
  <si>
    <t>C_15_1</t>
  </si>
  <si>
    <t>C_15_1_2</t>
  </si>
  <si>
    <t>C_15_1_3</t>
  </si>
  <si>
    <t>C_15_2_1</t>
  </si>
  <si>
    <t>C_15_2</t>
  </si>
  <si>
    <t>C_15_2_2</t>
  </si>
  <si>
    <t>C_15_2_3</t>
  </si>
  <si>
    <t>C_15_3_1</t>
  </si>
  <si>
    <t>C_15_3</t>
  </si>
  <si>
    <t>C_15_3_2</t>
  </si>
  <si>
    <t>C_15_3_3</t>
  </si>
  <si>
    <t>C_15_4_1</t>
  </si>
  <si>
    <t>C_15_4</t>
  </si>
  <si>
    <t>C_15_4_2</t>
  </si>
  <si>
    <t>C_15_4_3</t>
  </si>
  <si>
    <t>C_15_5_1</t>
  </si>
  <si>
    <t>C_15_5</t>
  </si>
  <si>
    <t>C_15_5_2</t>
  </si>
  <si>
    <t>C_15_5_3</t>
  </si>
  <si>
    <t>C_15_6_1</t>
  </si>
  <si>
    <t>C_15_6</t>
  </si>
  <si>
    <t>C_15_6_2</t>
  </si>
  <si>
    <t>C_15_6_3</t>
  </si>
  <si>
    <t>TVBN_mean</t>
  </si>
  <si>
    <t>TVBN_std</t>
  </si>
  <si>
    <t>mean±sd</t>
  </si>
  <si>
    <t>pooled sd</t>
  </si>
  <si>
    <t>mean±pooled sd</t>
  </si>
  <si>
    <t>decline</t>
  </si>
  <si>
    <t>times</t>
  </si>
  <si>
    <t>9.223±0.349</t>
  </si>
  <si>
    <t>0.208264705</t>
  </si>
  <si>
    <t>10.264±0.42</t>
  </si>
  <si>
    <t>0.151544342</t>
  </si>
  <si>
    <t>9.303±1.283</t>
  </si>
  <si>
    <t>0.514037739</t>
  </si>
  <si>
    <t>8.44±0.724</t>
  </si>
  <si>
    <t>0.387055716</t>
  </si>
  <si>
    <t>11.1856111111111</t>
  </si>
  <si>
    <t>11.186±1.042</t>
  </si>
  <si>
    <t>0.474167928</t>
  </si>
  <si>
    <t>11.111±0.64</t>
  </si>
  <si>
    <t>0.366428647</t>
  </si>
  <si>
    <t>11.802±0.451</t>
  </si>
  <si>
    <t>0.165378858</t>
  </si>
  <si>
    <t>9.936±0.941</t>
  </si>
  <si>
    <t>0.42118291</t>
  </si>
  <si>
    <t>11.173±0.448</t>
  </si>
  <si>
    <t>0.22133753</t>
  </si>
  <si>
    <t>11.449±1.259</t>
  </si>
  <si>
    <t>0.519393151</t>
  </si>
  <si>
    <t>12.579±0.344</t>
  </si>
  <si>
    <t>0.194669311</t>
  </si>
  <si>
    <t>12.347±0.806</t>
  </si>
  <si>
    <t>0.493083786</t>
  </si>
  <si>
    <t>group1</t>
  </si>
  <si>
    <t>group2</t>
  </si>
  <si>
    <t>U_stat</t>
  </si>
  <si>
    <t>p_value</t>
  </si>
  <si>
    <t>Rank_Biserial</t>
  </si>
  <si>
    <t>Cles</t>
  </si>
  <si>
    <t>direction</t>
  </si>
  <si>
    <t>p_adj_fdr</t>
  </si>
  <si>
    <t>30 &gt; 40</t>
  </si>
  <si>
    <t>25 &gt; 40</t>
  </si>
  <si>
    <t>0.0000028848913888683</t>
  </si>
  <si>
    <t>15 &gt; 40</t>
  </si>
  <si>
    <t>25 &gt; 30</t>
  </si>
  <si>
    <t>30 &gt; 15</t>
  </si>
  <si>
    <t>25 &gt; 15</t>
  </si>
  <si>
    <t>4.18547527398636E-06</t>
  </si>
  <si>
    <t>30 &gt; 25</t>
  </si>
  <si>
    <t>15 &gt; 25</t>
  </si>
  <si>
    <t>40 &gt; 25</t>
  </si>
  <si>
    <t>40 &gt; 15</t>
  </si>
  <si>
    <t>SD_i</t>
  </si>
  <si>
    <t>SD_i^2</t>
  </si>
  <si>
    <t>mean</t>
  </si>
  <si>
    <t>pooled 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</si>
</sst>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.75"/>
      <color rgb="FF0F1115"/>
      <name val="Consolas"/>
      <charset val="134"/>
    </font>
    <font>
      <sz val="10.5"/>
      <color rgb="FF0F1115"/>
      <name val="Consolas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6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4" fillId="18" borderId="7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6" fillId="19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</cellStyleXfs>
  <cellXfs count="6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/>
    </xf>
    <xf numFmtId="0" fontId="2" fillId="2" borderId="0" xfId="0" applyFont="1" applyFill="1"/>
    <xf numFmtId="0" fontId="3" fillId="2" borderId="0" xfId="0" applyFont="1" applyFill="1"/>
    <xf numFmtId="0" fontId="3" fillId="0" borderId="0" xfId="0" applyFont="1"/>
    <xf numFmtId="0" fontId="0" fillId="3" borderId="0" xfId="0" applyFill="1" applyAlignment="1">
      <alignment horizontal="center"/>
    </xf>
    <xf numFmtId="0" fontId="2" fillId="3" borderId="0" xfId="0" applyFont="1" applyFill="1"/>
    <xf numFmtId="0" fontId="3" fillId="3" borderId="0" xfId="0" applyFont="1" applyFill="1"/>
    <xf numFmtId="0" fontId="0" fillId="4" borderId="0" xfId="0" applyFill="1" applyAlignment="1">
      <alignment horizontal="center"/>
    </xf>
    <xf numFmtId="0" fontId="2" fillId="4" borderId="0" xfId="0" applyFont="1" applyFill="1"/>
    <xf numFmtId="0" fontId="3" fillId="4" borderId="0" xfId="0" applyFont="1" applyFill="1"/>
    <xf numFmtId="0" fontId="0" fillId="5" borderId="0" xfId="0" applyFill="1" applyAlignment="1">
      <alignment horizontal="center"/>
    </xf>
    <xf numFmtId="0" fontId="2" fillId="5" borderId="0" xfId="0" applyFont="1" applyFill="1"/>
    <xf numFmtId="0" fontId="3" fillId="5" borderId="0" xfId="0" applyFont="1" applyFill="1"/>
    <xf numFmtId="0" fontId="0" fillId="6" borderId="0" xfId="0" applyFill="1" applyAlignment="1">
      <alignment horizontal="center"/>
    </xf>
    <xf numFmtId="0" fontId="2" fillId="6" borderId="0" xfId="0" applyFont="1" applyFill="1"/>
    <xf numFmtId="0" fontId="3" fillId="6" borderId="0" xfId="0" applyFont="1" applyFill="1"/>
    <xf numFmtId="0" fontId="0" fillId="7" borderId="0" xfId="0" applyFill="1" applyAlignment="1">
      <alignment horizontal="center"/>
    </xf>
    <xf numFmtId="0" fontId="2" fillId="7" borderId="0" xfId="0" applyFont="1" applyFill="1"/>
    <xf numFmtId="0" fontId="3" fillId="7" borderId="0" xfId="0" applyFont="1" applyFill="1"/>
    <xf numFmtId="0" fontId="0" fillId="8" borderId="0" xfId="0" applyFill="1" applyAlignment="1">
      <alignment horizontal="center"/>
    </xf>
    <xf numFmtId="0" fontId="2" fillId="8" borderId="0" xfId="0" applyFont="1" applyFill="1"/>
    <xf numFmtId="0" fontId="3" fillId="8" borderId="0" xfId="0" applyFont="1" applyFill="1"/>
    <xf numFmtId="0" fontId="0" fillId="9" borderId="0" xfId="0" applyFill="1" applyAlignment="1">
      <alignment horizontal="center"/>
    </xf>
    <xf numFmtId="0" fontId="2" fillId="9" borderId="0" xfId="0" applyFont="1" applyFill="1"/>
    <xf numFmtId="0" fontId="3" fillId="9" borderId="0" xfId="0" applyFont="1" applyFill="1"/>
    <xf numFmtId="0" fontId="0" fillId="10" borderId="0" xfId="0" applyFill="1" applyAlignment="1">
      <alignment horizontal="center"/>
    </xf>
    <xf numFmtId="0" fontId="2" fillId="10" borderId="0" xfId="0" applyFont="1" applyFill="1"/>
    <xf numFmtId="0" fontId="3" fillId="10" borderId="0" xfId="0" applyFont="1" applyFill="1"/>
    <xf numFmtId="0" fontId="0" fillId="11" borderId="0" xfId="0" applyFill="1" applyAlignment="1">
      <alignment horizontal="center"/>
    </xf>
    <xf numFmtId="0" fontId="2" fillId="11" borderId="0" xfId="0" applyFont="1" applyFill="1"/>
    <xf numFmtId="0" fontId="3" fillId="11" borderId="0" xfId="0" applyFont="1" applyFill="1"/>
    <xf numFmtId="0" fontId="0" fillId="12" borderId="0" xfId="0" applyFill="1" applyAlignment="1">
      <alignment horizontal="center"/>
    </xf>
    <xf numFmtId="0" fontId="2" fillId="12" borderId="0" xfId="0" applyFont="1" applyFill="1"/>
    <xf numFmtId="0" fontId="3" fillId="12" borderId="0" xfId="0" applyFont="1" applyFill="1"/>
    <xf numFmtId="0" fontId="0" fillId="13" borderId="0" xfId="0" applyFill="1" applyAlignment="1">
      <alignment horizontal="center"/>
    </xf>
    <xf numFmtId="0" fontId="2" fillId="13" borderId="0" xfId="0" applyFont="1" applyFill="1"/>
    <xf numFmtId="0" fontId="3" fillId="13" borderId="0" xfId="0" applyFont="1" applyFill="1"/>
    <xf numFmtId="0" fontId="0" fillId="0" borderId="0" xfId="0" applyAlignment="1">
      <alignment horizontal="center"/>
    </xf>
    <xf numFmtId="0" fontId="4" fillId="8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4" fillId="14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4" fillId="15" borderId="0" xfId="0" applyFont="1" applyFill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0" fillId="14" borderId="0" xfId="0" applyFill="1"/>
    <xf numFmtId="0" fontId="1" fillId="0" borderId="2" xfId="0" applyFont="1" applyBorder="1" applyAlignment="1">
      <alignment horizontal="center" vertical="top"/>
    </xf>
    <xf numFmtId="0" fontId="0" fillId="15" borderId="0" xfId="0" applyFill="1"/>
    <xf numFmtId="0" fontId="0" fillId="8" borderId="0" xfId="0" applyFill="1" quotePrefix="1"/>
    <xf numFmtId="0" fontId="0" fillId="14" borderId="0" xfId="0" applyFill="1" applyAlignment="1" quotePrefix="1">
      <alignment horizontal="center"/>
    </xf>
    <xf numFmtId="0" fontId="0" fillId="14" borderId="0" xfId="0" applyFill="1" quotePrefix="1"/>
    <xf numFmtId="0" fontId="0" fillId="15" borderId="0" xfId="0" applyFill="1" quotePrefix="1"/>
    <xf numFmtId="0" fontId="4" fillId="8" borderId="0" xfId="0" applyFont="1" applyFill="1" applyAlignment="1" quotePrefix="1">
      <alignment horizontal="center"/>
    </xf>
    <xf numFmtId="0" fontId="4" fillId="14" borderId="0" xfId="0" applyFont="1" applyFill="1" applyAlignment="1" quotePrefix="1">
      <alignment horizontal="center"/>
    </xf>
    <xf numFmtId="0" fontId="4" fillId="15" borderId="0" xfId="0" applyFont="1" applyFill="1" applyAlignment="1" quotePrefix="1">
      <alignment horizontal="center"/>
    </xf>
    <xf numFmtId="0" fontId="0" fillId="2" borderId="0" xfId="0" applyFill="1" quotePrefix="1"/>
    <xf numFmtId="0" fontId="0" fillId="3" borderId="0" xfId="0" applyFill="1" quotePrefix="1"/>
    <xf numFmtId="0" fontId="0" fillId="4" borderId="0" xfId="0" applyFill="1" quotePrefix="1"/>
    <xf numFmtId="0" fontId="0" fillId="5" borderId="0" xfId="0" applyFill="1" quotePrefix="1"/>
    <xf numFmtId="0" fontId="0" fillId="6" borderId="0" xfId="0" applyFill="1" quotePrefix="1"/>
    <xf numFmtId="0" fontId="0" fillId="7" borderId="0" xfId="0" applyFill="1" quotePrefix="1"/>
    <xf numFmtId="0" fontId="0" fillId="9" borderId="0" xfId="0" applyFill="1" quotePrefix="1"/>
    <xf numFmtId="0" fontId="0" fillId="10" borderId="0" xfId="0" applyFill="1" quotePrefix="1"/>
    <xf numFmtId="0" fontId="0" fillId="11" borderId="0" xfId="0" applyFill="1" quotePrefix="1"/>
    <xf numFmtId="0" fontId="0" fillId="12" borderId="0" xfId="0" applyFill="1" quotePrefix="1"/>
    <xf numFmtId="0" fontId="0" fillId="13" borderId="0" xfId="0" applyFill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3"/>
  <sheetViews>
    <sheetView topLeftCell="A202" workbookViewId="0">
      <selection activeCell="E1" sqref="E1:E223"/>
    </sheetView>
  </sheetViews>
  <sheetFormatPr defaultColWidth="9" defaultRowHeight="14"/>
  <cols>
    <col min="1" max="1" width="8.54545454545454" style="51" customWidth="1"/>
    <col min="2" max="2" width="9.54545454545454" style="51" customWidth="1"/>
    <col min="3" max="3" width="14" style="51" customWidth="1"/>
    <col min="4" max="4" width="32.4545454545455" style="51" customWidth="1"/>
    <col min="5" max="5" width="8.54545454545454" style="51" customWidth="1"/>
    <col min="6" max="6" width="14" style="51" customWidth="1"/>
    <col min="7" max="7" width="28.7272727272727" style="51" customWidth="1"/>
    <col min="8" max="8" width="31.1818181818182" style="51" customWidth="1"/>
    <col min="9" max="9" width="45.9090909090909" style="51" customWidth="1"/>
    <col min="10" max="10" width="37.3636363636364" style="51" customWidth="1"/>
    <col min="11" max="11" width="38.5454545454545" style="51" customWidth="1"/>
    <col min="12" max="12" width="27.5454545454545" style="51" customWidth="1"/>
    <col min="13" max="13" width="26.2727272727273" style="51" customWidth="1"/>
    <col min="14" max="16384" width="9" style="51"/>
  </cols>
  <sheetData>
    <row r="1" spans="1:1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</row>
    <row r="2" spans="1:13">
      <c r="A2" s="51" t="s">
        <v>13</v>
      </c>
      <c r="B2" s="51" t="s">
        <v>14</v>
      </c>
      <c r="C2" s="51">
        <v>40</v>
      </c>
      <c r="D2" s="51">
        <v>0.0133</v>
      </c>
      <c r="E2" s="51">
        <v>13.3385</v>
      </c>
      <c r="F2" s="51">
        <v>5</v>
      </c>
      <c r="G2" s="51">
        <v>25</v>
      </c>
      <c r="H2" s="51">
        <v>4</v>
      </c>
      <c r="I2" s="51">
        <v>0.02</v>
      </c>
      <c r="J2" s="51">
        <v>0.0976</v>
      </c>
      <c r="K2" s="51">
        <v>0.4787</v>
      </c>
      <c r="L2" s="51" t="s">
        <v>15</v>
      </c>
      <c r="M2" s="51" t="s">
        <v>16</v>
      </c>
    </row>
    <row r="3" spans="1:13">
      <c r="A3" s="51" t="s">
        <v>13</v>
      </c>
      <c r="B3" s="51" t="s">
        <v>17</v>
      </c>
      <c r="C3" s="51">
        <v>40</v>
      </c>
      <c r="D3" s="51">
        <v>0.0119</v>
      </c>
      <c r="E3" s="51">
        <v>11.844</v>
      </c>
      <c r="F3" s="51">
        <v>5</v>
      </c>
      <c r="G3" s="51">
        <v>25</v>
      </c>
      <c r="H3" s="51">
        <v>4</v>
      </c>
      <c r="I3" s="51">
        <v>0.02</v>
      </c>
      <c r="J3" s="51">
        <v>0.0976</v>
      </c>
      <c r="K3" s="51">
        <v>0.436</v>
      </c>
      <c r="L3" s="51" t="s">
        <v>15</v>
      </c>
      <c r="M3" s="51" t="s">
        <v>18</v>
      </c>
    </row>
    <row r="4" spans="1:13">
      <c r="A4" s="51" t="s">
        <v>13</v>
      </c>
      <c r="B4" s="51" t="s">
        <v>19</v>
      </c>
      <c r="C4" s="51">
        <v>40</v>
      </c>
      <c r="D4" s="51">
        <v>0.0122</v>
      </c>
      <c r="E4" s="51">
        <v>12.166</v>
      </c>
      <c r="F4" s="51">
        <v>5</v>
      </c>
      <c r="G4" s="51">
        <v>25</v>
      </c>
      <c r="H4" s="51">
        <v>4</v>
      </c>
      <c r="I4" s="51">
        <v>0.02</v>
      </c>
      <c r="J4" s="51">
        <v>0.0976</v>
      </c>
      <c r="K4" s="51">
        <v>0.4452</v>
      </c>
      <c r="L4" s="51" t="s">
        <v>15</v>
      </c>
      <c r="M4" s="51" t="s">
        <v>20</v>
      </c>
    </row>
    <row r="5" spans="1:13">
      <c r="A5" s="51" t="s">
        <v>13</v>
      </c>
      <c r="B5" s="51" t="s">
        <v>21</v>
      </c>
      <c r="C5" s="51">
        <v>40</v>
      </c>
      <c r="D5" s="51">
        <v>0.0126</v>
      </c>
      <c r="E5" s="51">
        <v>12.593</v>
      </c>
      <c r="F5" s="51">
        <v>5</v>
      </c>
      <c r="G5" s="51">
        <v>25</v>
      </c>
      <c r="H5" s="51">
        <v>4</v>
      </c>
      <c r="I5" s="51">
        <v>0.02</v>
      </c>
      <c r="J5" s="51">
        <v>0.0976</v>
      </c>
      <c r="K5" s="51">
        <v>0.4574</v>
      </c>
      <c r="L5" s="51" t="s">
        <v>22</v>
      </c>
      <c r="M5" s="51" t="s">
        <v>16</v>
      </c>
    </row>
    <row r="6" spans="1:13">
      <c r="A6" s="51" t="s">
        <v>13</v>
      </c>
      <c r="B6" s="51" t="s">
        <v>23</v>
      </c>
      <c r="C6" s="51">
        <v>40</v>
      </c>
      <c r="D6" s="51">
        <v>0.0125</v>
      </c>
      <c r="E6" s="51">
        <v>12.4495</v>
      </c>
      <c r="F6" s="51">
        <v>5</v>
      </c>
      <c r="G6" s="51">
        <v>25</v>
      </c>
      <c r="H6" s="51">
        <v>4</v>
      </c>
      <c r="I6" s="51">
        <v>0.02</v>
      </c>
      <c r="J6" s="51">
        <v>0.0976</v>
      </c>
      <c r="K6" s="51">
        <v>0.4533</v>
      </c>
      <c r="L6" s="51" t="s">
        <v>22</v>
      </c>
      <c r="M6" s="51" t="s">
        <v>18</v>
      </c>
    </row>
    <row r="7" spans="1:13">
      <c r="A7" s="51" t="s">
        <v>13</v>
      </c>
      <c r="B7" s="51" t="s">
        <v>24</v>
      </c>
      <c r="C7" s="51">
        <v>40</v>
      </c>
      <c r="D7" s="51">
        <v>0.0118</v>
      </c>
      <c r="E7" s="51">
        <v>11.774</v>
      </c>
      <c r="F7" s="51">
        <v>5</v>
      </c>
      <c r="G7" s="51">
        <v>25</v>
      </c>
      <c r="H7" s="51">
        <v>4</v>
      </c>
      <c r="I7" s="51">
        <v>0.02</v>
      </c>
      <c r="J7" s="51">
        <v>0.0976</v>
      </c>
      <c r="K7" s="51">
        <v>0.434</v>
      </c>
      <c r="L7" s="51" t="s">
        <v>22</v>
      </c>
      <c r="M7" s="51" t="s">
        <v>20</v>
      </c>
    </row>
    <row r="8" spans="1:13">
      <c r="A8" s="51" t="s">
        <v>13</v>
      </c>
      <c r="B8" s="51" t="s">
        <v>25</v>
      </c>
      <c r="C8" s="51">
        <v>40</v>
      </c>
      <c r="D8" s="51">
        <v>0.0125</v>
      </c>
      <c r="E8" s="51">
        <v>12.4495</v>
      </c>
      <c r="F8" s="51">
        <v>5</v>
      </c>
      <c r="G8" s="51">
        <v>25</v>
      </c>
      <c r="H8" s="51">
        <v>4</v>
      </c>
      <c r="I8" s="51">
        <v>0.02</v>
      </c>
      <c r="J8" s="51">
        <v>0.0976</v>
      </c>
      <c r="K8" s="51">
        <v>0.4533</v>
      </c>
      <c r="L8" s="51" t="s">
        <v>26</v>
      </c>
      <c r="M8" s="51" t="s">
        <v>16</v>
      </c>
    </row>
    <row r="9" spans="1:13">
      <c r="A9" s="51" t="s">
        <v>13</v>
      </c>
      <c r="B9" s="51" t="s">
        <v>27</v>
      </c>
      <c r="C9" s="51">
        <v>40</v>
      </c>
      <c r="D9" s="51">
        <v>0.0116</v>
      </c>
      <c r="E9" s="51">
        <v>11.5955</v>
      </c>
      <c r="F9" s="51">
        <v>5</v>
      </c>
      <c r="G9" s="51">
        <v>25</v>
      </c>
      <c r="H9" s="51">
        <v>4</v>
      </c>
      <c r="I9" s="51">
        <v>0.02</v>
      </c>
      <c r="J9" s="51">
        <v>0.0976</v>
      </c>
      <c r="K9" s="51">
        <v>0.4289</v>
      </c>
      <c r="L9" s="51" t="s">
        <v>26</v>
      </c>
      <c r="M9" s="51" t="s">
        <v>18</v>
      </c>
    </row>
    <row r="10" spans="1:13">
      <c r="A10" s="51" t="s">
        <v>13</v>
      </c>
      <c r="B10" s="51" t="s">
        <v>28</v>
      </c>
      <c r="C10" s="51">
        <v>40</v>
      </c>
      <c r="D10" s="51">
        <v>0.013</v>
      </c>
      <c r="E10" s="51">
        <v>12.9815</v>
      </c>
      <c r="F10" s="51">
        <v>5</v>
      </c>
      <c r="G10" s="51">
        <v>25</v>
      </c>
      <c r="H10" s="51">
        <v>4</v>
      </c>
      <c r="I10" s="51">
        <v>0.02</v>
      </c>
      <c r="J10" s="51">
        <v>0.0976</v>
      </c>
      <c r="K10" s="51">
        <v>0.4685</v>
      </c>
      <c r="L10" s="51" t="s">
        <v>26</v>
      </c>
      <c r="M10" s="51" t="s">
        <v>20</v>
      </c>
    </row>
    <row r="11" spans="1:13">
      <c r="A11" s="51" t="s">
        <v>13</v>
      </c>
      <c r="B11" s="51" t="s">
        <v>29</v>
      </c>
      <c r="C11" s="51">
        <v>40</v>
      </c>
      <c r="D11" s="51">
        <v>0.011</v>
      </c>
      <c r="E11" s="51">
        <v>10.955</v>
      </c>
      <c r="F11" s="51">
        <v>5</v>
      </c>
      <c r="G11" s="51">
        <v>25</v>
      </c>
      <c r="H11" s="51">
        <v>4</v>
      </c>
      <c r="I11" s="51">
        <v>0.02</v>
      </c>
      <c r="J11" s="51">
        <v>0.0976</v>
      </c>
      <c r="K11" s="51">
        <v>0.4106</v>
      </c>
      <c r="L11" s="51" t="s">
        <v>30</v>
      </c>
      <c r="M11" s="51" t="s">
        <v>16</v>
      </c>
    </row>
    <row r="12" spans="1:13">
      <c r="A12" s="51" t="s">
        <v>13</v>
      </c>
      <c r="B12" s="51" t="s">
        <v>31</v>
      </c>
      <c r="C12" s="51">
        <v>40</v>
      </c>
      <c r="D12" s="51">
        <v>0.011</v>
      </c>
      <c r="E12" s="51">
        <v>10.99</v>
      </c>
      <c r="F12" s="51">
        <v>5</v>
      </c>
      <c r="G12" s="51">
        <v>25</v>
      </c>
      <c r="H12" s="51">
        <v>4</v>
      </c>
      <c r="I12" s="51">
        <v>0.02</v>
      </c>
      <c r="J12" s="51">
        <v>0.0976</v>
      </c>
      <c r="K12" s="51">
        <v>0.4116</v>
      </c>
      <c r="L12" s="51" t="s">
        <v>30</v>
      </c>
      <c r="M12" s="51" t="s">
        <v>18</v>
      </c>
    </row>
    <row r="13" spans="1:13">
      <c r="A13" s="51" t="s">
        <v>13</v>
      </c>
      <c r="B13" s="51" t="s">
        <v>32</v>
      </c>
      <c r="C13" s="51">
        <v>40</v>
      </c>
      <c r="D13" s="51">
        <v>0.0126</v>
      </c>
      <c r="E13" s="51">
        <v>12.593</v>
      </c>
      <c r="F13" s="51">
        <v>5</v>
      </c>
      <c r="G13" s="51">
        <v>25</v>
      </c>
      <c r="H13" s="51">
        <v>4</v>
      </c>
      <c r="I13" s="51">
        <v>0.02</v>
      </c>
      <c r="J13" s="51">
        <v>0.0976</v>
      </c>
      <c r="K13" s="51">
        <v>0.4574</v>
      </c>
      <c r="L13" s="51" t="s">
        <v>30</v>
      </c>
      <c r="M13" s="51" t="s">
        <v>20</v>
      </c>
    </row>
    <row r="14" spans="1:13">
      <c r="A14" s="51" t="s">
        <v>13</v>
      </c>
      <c r="B14" s="51" t="s">
        <v>33</v>
      </c>
      <c r="C14" s="51">
        <v>40</v>
      </c>
      <c r="D14" s="51">
        <v>0.0126</v>
      </c>
      <c r="E14" s="51">
        <v>12.593</v>
      </c>
      <c r="F14" s="51">
        <v>5</v>
      </c>
      <c r="G14" s="51">
        <v>25</v>
      </c>
      <c r="H14" s="51">
        <v>4</v>
      </c>
      <c r="I14" s="51">
        <v>0.02</v>
      </c>
      <c r="J14" s="51">
        <v>0.0976</v>
      </c>
      <c r="K14" s="51">
        <v>0.4574</v>
      </c>
      <c r="L14" s="51" t="s">
        <v>34</v>
      </c>
      <c r="M14" s="51" t="s">
        <v>16</v>
      </c>
    </row>
    <row r="15" spans="1:13">
      <c r="A15" s="51" t="s">
        <v>13</v>
      </c>
      <c r="B15" s="51" t="s">
        <v>35</v>
      </c>
      <c r="C15" s="51">
        <v>40</v>
      </c>
      <c r="D15" s="51">
        <v>0.0119</v>
      </c>
      <c r="E15" s="51">
        <v>11.844</v>
      </c>
      <c r="F15" s="51">
        <v>5</v>
      </c>
      <c r="G15" s="51">
        <v>25</v>
      </c>
      <c r="H15" s="51">
        <v>4</v>
      </c>
      <c r="I15" s="51">
        <v>0.02</v>
      </c>
      <c r="J15" s="51">
        <v>0.0976</v>
      </c>
      <c r="K15" s="51">
        <v>0.436</v>
      </c>
      <c r="L15" s="51" t="s">
        <v>34</v>
      </c>
      <c r="M15" s="51" t="s">
        <v>18</v>
      </c>
    </row>
    <row r="16" spans="1:13">
      <c r="A16" s="51" t="s">
        <v>13</v>
      </c>
      <c r="B16" s="51" t="s">
        <v>36</v>
      </c>
      <c r="C16" s="51">
        <v>40</v>
      </c>
      <c r="D16" s="51">
        <v>0.0143</v>
      </c>
      <c r="E16" s="51">
        <v>14.2625</v>
      </c>
      <c r="F16" s="51">
        <v>5</v>
      </c>
      <c r="G16" s="51">
        <v>25</v>
      </c>
      <c r="H16" s="51">
        <v>4</v>
      </c>
      <c r="I16" s="51">
        <v>0.02</v>
      </c>
      <c r="J16" s="51">
        <v>0.0976</v>
      </c>
      <c r="K16" s="51">
        <v>0.5051</v>
      </c>
      <c r="L16" s="51" t="s">
        <v>34</v>
      </c>
      <c r="M16" s="51" t="s">
        <v>20</v>
      </c>
    </row>
    <row r="17" spans="1:13">
      <c r="A17" s="51" t="s">
        <v>13</v>
      </c>
      <c r="B17" s="51" t="s">
        <v>37</v>
      </c>
      <c r="C17" s="51">
        <v>40</v>
      </c>
      <c r="D17" s="51">
        <v>0.0122</v>
      </c>
      <c r="E17" s="51">
        <v>12.166</v>
      </c>
      <c r="F17" s="51">
        <v>5</v>
      </c>
      <c r="G17" s="51">
        <v>25</v>
      </c>
      <c r="H17" s="51">
        <v>4</v>
      </c>
      <c r="I17" s="51">
        <v>0.02</v>
      </c>
      <c r="J17" s="51">
        <v>0.0976</v>
      </c>
      <c r="K17" s="51">
        <v>0.4452</v>
      </c>
      <c r="L17" s="51" t="s">
        <v>38</v>
      </c>
      <c r="M17" s="51" t="s">
        <v>16</v>
      </c>
    </row>
    <row r="18" spans="1:13">
      <c r="A18" s="51" t="s">
        <v>13</v>
      </c>
      <c r="B18" s="51" t="s">
        <v>39</v>
      </c>
      <c r="C18" s="51">
        <v>40</v>
      </c>
      <c r="D18" s="51">
        <v>0.013</v>
      </c>
      <c r="E18" s="51">
        <v>13.02</v>
      </c>
      <c r="F18" s="51">
        <v>5</v>
      </c>
      <c r="G18" s="51">
        <v>25</v>
      </c>
      <c r="H18" s="51">
        <v>4</v>
      </c>
      <c r="I18" s="51">
        <v>0.02</v>
      </c>
      <c r="J18" s="51">
        <v>0.0976</v>
      </c>
      <c r="K18" s="51">
        <v>0.4696</v>
      </c>
      <c r="L18" s="51" t="s">
        <v>38</v>
      </c>
      <c r="M18" s="51" t="s">
        <v>18</v>
      </c>
    </row>
    <row r="19" spans="1:13">
      <c r="A19" s="51" t="s">
        <v>13</v>
      </c>
      <c r="B19" s="51" t="s">
        <v>40</v>
      </c>
      <c r="C19" s="51">
        <v>40</v>
      </c>
      <c r="D19" s="51">
        <v>0.0126</v>
      </c>
      <c r="E19" s="51">
        <v>12.628</v>
      </c>
      <c r="F19" s="51">
        <v>5</v>
      </c>
      <c r="G19" s="51">
        <v>25</v>
      </c>
      <c r="H19" s="51">
        <v>4</v>
      </c>
      <c r="I19" s="51">
        <v>0.02</v>
      </c>
      <c r="J19" s="51">
        <v>0.0976</v>
      </c>
      <c r="K19" s="51">
        <v>0.4584</v>
      </c>
      <c r="L19" s="51" t="s">
        <v>38</v>
      </c>
      <c r="M19" s="51" t="s">
        <v>20</v>
      </c>
    </row>
    <row r="20" spans="1:13">
      <c r="A20" s="51" t="s">
        <v>41</v>
      </c>
      <c r="B20" s="51" t="s">
        <v>42</v>
      </c>
      <c r="C20" s="51">
        <v>40</v>
      </c>
      <c r="D20" s="51">
        <v>0.0095</v>
      </c>
      <c r="E20" s="51">
        <v>9.52</v>
      </c>
      <c r="F20" s="51">
        <v>5</v>
      </c>
      <c r="G20" s="51">
        <v>25</v>
      </c>
      <c r="H20" s="51">
        <v>4</v>
      </c>
      <c r="I20" s="51">
        <v>0.02</v>
      </c>
      <c r="J20" s="51">
        <v>0.0898</v>
      </c>
      <c r="K20" s="51">
        <v>0.3618</v>
      </c>
      <c r="L20" s="51" t="s">
        <v>43</v>
      </c>
      <c r="M20" s="51" t="s">
        <v>16</v>
      </c>
    </row>
    <row r="21" spans="1:13">
      <c r="A21" s="51" t="s">
        <v>41</v>
      </c>
      <c r="B21" s="51" t="s">
        <v>44</v>
      </c>
      <c r="C21" s="51">
        <v>40</v>
      </c>
      <c r="D21" s="51">
        <v>0.0098</v>
      </c>
      <c r="E21" s="51">
        <v>9.842</v>
      </c>
      <c r="F21" s="51">
        <v>5</v>
      </c>
      <c r="G21" s="51">
        <v>25</v>
      </c>
      <c r="H21" s="51">
        <v>4</v>
      </c>
      <c r="I21" s="51">
        <v>0.02</v>
      </c>
      <c r="J21" s="51">
        <v>0.0898</v>
      </c>
      <c r="K21" s="51">
        <v>0.371</v>
      </c>
      <c r="L21" s="51" t="s">
        <v>43</v>
      </c>
      <c r="M21" s="51" t="s">
        <v>18</v>
      </c>
    </row>
    <row r="22" spans="1:13">
      <c r="A22" s="51" t="s">
        <v>41</v>
      </c>
      <c r="B22" s="51" t="s">
        <v>45</v>
      </c>
      <c r="C22" s="51">
        <v>40</v>
      </c>
      <c r="D22" s="51">
        <v>0.0094</v>
      </c>
      <c r="E22" s="51">
        <v>9.38</v>
      </c>
      <c r="F22" s="51">
        <v>5</v>
      </c>
      <c r="G22" s="51">
        <v>25</v>
      </c>
      <c r="H22" s="51">
        <v>4</v>
      </c>
      <c r="I22" s="51">
        <v>0.02</v>
      </c>
      <c r="J22" s="51">
        <v>0.0898</v>
      </c>
      <c r="K22" s="51">
        <v>0.3578</v>
      </c>
      <c r="L22" s="51" t="s">
        <v>43</v>
      </c>
      <c r="M22" s="51" t="s">
        <v>20</v>
      </c>
    </row>
    <row r="23" spans="1:13">
      <c r="A23" s="51" t="s">
        <v>41</v>
      </c>
      <c r="B23" s="51" t="s">
        <v>46</v>
      </c>
      <c r="C23" s="51">
        <v>40</v>
      </c>
      <c r="D23" s="51">
        <v>0.0088</v>
      </c>
      <c r="E23" s="51">
        <v>8.7745</v>
      </c>
      <c r="F23" s="51">
        <v>5</v>
      </c>
      <c r="G23" s="51">
        <v>25</v>
      </c>
      <c r="H23" s="51">
        <v>4</v>
      </c>
      <c r="I23" s="51">
        <v>0.02</v>
      </c>
      <c r="J23" s="51">
        <v>0.0898</v>
      </c>
      <c r="K23" s="51">
        <v>0.3405</v>
      </c>
      <c r="L23" s="51" t="s">
        <v>47</v>
      </c>
      <c r="M23" s="51" t="s">
        <v>16</v>
      </c>
    </row>
    <row r="24" spans="1:13">
      <c r="A24" s="51" t="s">
        <v>41</v>
      </c>
      <c r="B24" s="51" t="s">
        <v>48</v>
      </c>
      <c r="C24" s="51">
        <v>40</v>
      </c>
      <c r="D24" s="51">
        <v>0.0086</v>
      </c>
      <c r="E24" s="51">
        <v>8.631</v>
      </c>
      <c r="F24" s="51">
        <v>5</v>
      </c>
      <c r="G24" s="51">
        <v>25</v>
      </c>
      <c r="H24" s="51">
        <v>4</v>
      </c>
      <c r="I24" s="51">
        <v>0.02</v>
      </c>
      <c r="J24" s="51">
        <v>0.0898</v>
      </c>
      <c r="K24" s="51">
        <v>0.3364</v>
      </c>
      <c r="L24" s="51" t="s">
        <v>47</v>
      </c>
      <c r="M24" s="51" t="s">
        <v>18</v>
      </c>
    </row>
    <row r="25" spans="1:13">
      <c r="A25" s="51" t="s">
        <v>41</v>
      </c>
      <c r="B25" s="51" t="s">
        <v>49</v>
      </c>
      <c r="C25" s="51">
        <v>40</v>
      </c>
      <c r="D25" s="51">
        <v>0.0093</v>
      </c>
      <c r="E25" s="51">
        <v>9.3065</v>
      </c>
      <c r="F25" s="51">
        <v>5</v>
      </c>
      <c r="G25" s="51">
        <v>25</v>
      </c>
      <c r="H25" s="51">
        <v>4</v>
      </c>
      <c r="I25" s="51">
        <v>0.02</v>
      </c>
      <c r="J25" s="51">
        <v>0.0898</v>
      </c>
      <c r="K25" s="51">
        <v>0.3557</v>
      </c>
      <c r="L25" s="51" t="s">
        <v>47</v>
      </c>
      <c r="M25" s="51" t="s">
        <v>20</v>
      </c>
    </row>
    <row r="26" spans="1:13">
      <c r="A26" s="51" t="s">
        <v>41</v>
      </c>
      <c r="B26" s="51" t="s">
        <v>50</v>
      </c>
      <c r="C26" s="51">
        <v>40</v>
      </c>
      <c r="D26" s="51">
        <v>0.0117</v>
      </c>
      <c r="E26" s="51">
        <v>11.69</v>
      </c>
      <c r="F26" s="51">
        <v>5</v>
      </c>
      <c r="G26" s="51">
        <v>25</v>
      </c>
      <c r="H26" s="51">
        <v>4</v>
      </c>
      <c r="I26" s="51">
        <v>0.02</v>
      </c>
      <c r="J26" s="51">
        <v>0.0898</v>
      </c>
      <c r="K26" s="51">
        <v>0.4238</v>
      </c>
      <c r="L26" s="51" t="s">
        <v>51</v>
      </c>
      <c r="M26" s="51" t="s">
        <v>16</v>
      </c>
    </row>
    <row r="27" spans="1:13">
      <c r="A27" s="51" t="s">
        <v>41</v>
      </c>
      <c r="B27" s="51" t="s">
        <v>52</v>
      </c>
      <c r="C27" s="51">
        <v>40</v>
      </c>
      <c r="D27" s="51">
        <v>0.0115</v>
      </c>
      <c r="E27" s="51">
        <v>11.5115</v>
      </c>
      <c r="F27" s="51">
        <v>5</v>
      </c>
      <c r="G27" s="51">
        <v>25</v>
      </c>
      <c r="H27" s="51">
        <v>4</v>
      </c>
      <c r="I27" s="51">
        <v>0.02</v>
      </c>
      <c r="J27" s="51">
        <v>0.0898</v>
      </c>
      <c r="K27" s="51">
        <v>0.4187</v>
      </c>
      <c r="L27" s="51" t="s">
        <v>51</v>
      </c>
      <c r="M27" s="51" t="s">
        <v>18</v>
      </c>
    </row>
    <row r="28" spans="1:13">
      <c r="A28" s="51" t="s">
        <v>41</v>
      </c>
      <c r="B28" s="51" t="s">
        <v>53</v>
      </c>
      <c r="C28" s="51">
        <v>40</v>
      </c>
      <c r="D28" s="51">
        <v>0.0112</v>
      </c>
      <c r="E28" s="51">
        <v>11.158</v>
      </c>
      <c r="F28" s="51">
        <v>5</v>
      </c>
      <c r="G28" s="51">
        <v>25</v>
      </c>
      <c r="H28" s="51">
        <v>4</v>
      </c>
      <c r="I28" s="51">
        <v>0.02</v>
      </c>
      <c r="J28" s="51">
        <v>0.0898</v>
      </c>
      <c r="K28" s="51">
        <v>0.4086</v>
      </c>
      <c r="L28" s="51" t="s">
        <v>51</v>
      </c>
      <c r="M28" s="51" t="s">
        <v>20</v>
      </c>
    </row>
    <row r="29" spans="1:13">
      <c r="A29" s="51" t="s">
        <v>41</v>
      </c>
      <c r="B29" s="51" t="s">
        <v>54</v>
      </c>
      <c r="C29" s="51">
        <v>40</v>
      </c>
      <c r="D29" s="51">
        <v>0.0112</v>
      </c>
      <c r="E29" s="51">
        <v>11.158</v>
      </c>
      <c r="F29" s="51">
        <v>5</v>
      </c>
      <c r="G29" s="51">
        <v>25</v>
      </c>
      <c r="H29" s="51">
        <v>4</v>
      </c>
      <c r="I29" s="51">
        <v>0.02</v>
      </c>
      <c r="J29" s="51">
        <v>0.0898</v>
      </c>
      <c r="K29" s="51">
        <v>0.4086</v>
      </c>
      <c r="L29" s="51" t="s">
        <v>55</v>
      </c>
      <c r="M29" s="51" t="s">
        <v>16</v>
      </c>
    </row>
    <row r="30" spans="1:13">
      <c r="A30" s="51" t="s">
        <v>41</v>
      </c>
      <c r="B30" s="51" t="s">
        <v>56</v>
      </c>
      <c r="C30" s="51">
        <v>40</v>
      </c>
      <c r="D30" s="51">
        <v>0.0107</v>
      </c>
      <c r="E30" s="51">
        <v>10.731</v>
      </c>
      <c r="F30" s="51">
        <v>5</v>
      </c>
      <c r="G30" s="51">
        <v>25</v>
      </c>
      <c r="H30" s="51">
        <v>4</v>
      </c>
      <c r="I30" s="51">
        <v>0.02</v>
      </c>
      <c r="J30" s="51">
        <v>0.0898</v>
      </c>
      <c r="K30" s="51">
        <v>0.3964</v>
      </c>
      <c r="L30" s="51" t="s">
        <v>55</v>
      </c>
      <c r="M30" s="51" t="s">
        <v>18</v>
      </c>
    </row>
    <row r="31" spans="1:13">
      <c r="A31" s="51" t="s">
        <v>41</v>
      </c>
      <c r="B31" s="51" t="s">
        <v>57</v>
      </c>
      <c r="C31" s="51">
        <v>40</v>
      </c>
      <c r="D31" s="51">
        <v>0.008</v>
      </c>
      <c r="E31" s="51">
        <v>7.9555</v>
      </c>
      <c r="F31" s="51">
        <v>5</v>
      </c>
      <c r="G31" s="51">
        <v>25</v>
      </c>
      <c r="H31" s="51">
        <v>4</v>
      </c>
      <c r="I31" s="51">
        <v>0.02</v>
      </c>
      <c r="J31" s="51">
        <v>0.0898</v>
      </c>
      <c r="K31" s="51">
        <v>0.3171</v>
      </c>
      <c r="L31" s="51" t="s">
        <v>55</v>
      </c>
      <c r="M31" s="51" t="s">
        <v>20</v>
      </c>
    </row>
    <row r="32" spans="1:13">
      <c r="A32" s="51" t="s">
        <v>41</v>
      </c>
      <c r="B32" s="51" t="s">
        <v>58</v>
      </c>
      <c r="C32" s="51">
        <v>40</v>
      </c>
      <c r="D32" s="51">
        <v>0.0097</v>
      </c>
      <c r="E32" s="51">
        <v>9.7335</v>
      </c>
      <c r="F32" s="51">
        <v>5</v>
      </c>
      <c r="G32" s="51">
        <v>25</v>
      </c>
      <c r="H32" s="51">
        <v>4</v>
      </c>
      <c r="I32" s="51">
        <v>0.02</v>
      </c>
      <c r="J32" s="51">
        <v>0.0898</v>
      </c>
      <c r="K32" s="51">
        <v>0.3679</v>
      </c>
      <c r="L32" s="51" t="s">
        <v>59</v>
      </c>
      <c r="M32" s="51" t="s">
        <v>16</v>
      </c>
    </row>
    <row r="33" spans="1:13">
      <c r="A33" s="51" t="s">
        <v>41</v>
      </c>
      <c r="B33" s="51" t="s">
        <v>60</v>
      </c>
      <c r="C33" s="51">
        <v>40</v>
      </c>
      <c r="D33" s="51">
        <v>0.0099</v>
      </c>
      <c r="E33" s="51">
        <v>9.877</v>
      </c>
      <c r="F33" s="51">
        <v>5</v>
      </c>
      <c r="G33" s="51">
        <v>25</v>
      </c>
      <c r="H33" s="51">
        <v>4</v>
      </c>
      <c r="I33" s="51">
        <v>0.02</v>
      </c>
      <c r="J33" s="51">
        <v>0.0898</v>
      </c>
      <c r="K33" s="51">
        <v>0.372</v>
      </c>
      <c r="L33" s="51" t="s">
        <v>59</v>
      </c>
      <c r="M33" s="51" t="s">
        <v>18</v>
      </c>
    </row>
    <row r="34" spans="1:13">
      <c r="A34" s="51" t="s">
        <v>41</v>
      </c>
      <c r="B34" s="51" t="s">
        <v>61</v>
      </c>
      <c r="C34" s="51">
        <v>40</v>
      </c>
      <c r="D34" s="51">
        <v>0.0101</v>
      </c>
      <c r="E34" s="51">
        <v>10.0905</v>
      </c>
      <c r="F34" s="51">
        <v>5</v>
      </c>
      <c r="G34" s="51">
        <v>25</v>
      </c>
      <c r="H34" s="51">
        <v>4</v>
      </c>
      <c r="I34" s="51">
        <v>0.02</v>
      </c>
      <c r="J34" s="51">
        <v>0.0898</v>
      </c>
      <c r="K34" s="51">
        <v>0.3781</v>
      </c>
      <c r="L34" s="51" t="s">
        <v>59</v>
      </c>
      <c r="M34" s="51" t="s">
        <v>20</v>
      </c>
    </row>
    <row r="35" spans="1:13">
      <c r="A35" s="51" t="s">
        <v>41</v>
      </c>
      <c r="B35" s="51" t="s">
        <v>62</v>
      </c>
      <c r="C35" s="51">
        <v>40</v>
      </c>
      <c r="D35" s="51">
        <v>0.0096</v>
      </c>
      <c r="E35" s="51">
        <v>9.6285</v>
      </c>
      <c r="F35" s="51">
        <v>5</v>
      </c>
      <c r="G35" s="51">
        <v>25</v>
      </c>
      <c r="H35" s="51">
        <v>4</v>
      </c>
      <c r="I35" s="51">
        <v>0.02</v>
      </c>
      <c r="J35" s="51">
        <v>0.0898</v>
      </c>
      <c r="K35" s="51">
        <v>0.3649</v>
      </c>
      <c r="L35" s="51" t="s">
        <v>63</v>
      </c>
      <c r="M35" s="51" t="s">
        <v>16</v>
      </c>
    </row>
    <row r="36" spans="1:13">
      <c r="A36" s="51" t="s">
        <v>41</v>
      </c>
      <c r="B36" s="51" t="s">
        <v>64</v>
      </c>
      <c r="C36" s="51">
        <v>40</v>
      </c>
      <c r="D36" s="51">
        <v>0.0098</v>
      </c>
      <c r="E36" s="51">
        <v>9.7685</v>
      </c>
      <c r="F36" s="51">
        <v>5</v>
      </c>
      <c r="G36" s="51">
        <v>25</v>
      </c>
      <c r="H36" s="51">
        <v>4</v>
      </c>
      <c r="I36" s="51">
        <v>0.02</v>
      </c>
      <c r="J36" s="51">
        <v>0.0898</v>
      </c>
      <c r="K36" s="51">
        <v>0.3689</v>
      </c>
      <c r="L36" s="51" t="s">
        <v>63</v>
      </c>
      <c r="M36" s="51" t="s">
        <v>18</v>
      </c>
    </row>
    <row r="37" spans="1:13">
      <c r="A37" s="51" t="s">
        <v>41</v>
      </c>
      <c r="B37" s="51" t="s">
        <v>65</v>
      </c>
      <c r="C37" s="51">
        <v>40</v>
      </c>
      <c r="D37" s="51">
        <v>0.0094</v>
      </c>
      <c r="E37" s="51">
        <v>9.415</v>
      </c>
      <c r="F37" s="51">
        <v>5</v>
      </c>
      <c r="G37" s="51">
        <v>25</v>
      </c>
      <c r="H37" s="51">
        <v>4</v>
      </c>
      <c r="I37" s="51">
        <v>0.02</v>
      </c>
      <c r="J37" s="51">
        <v>0.0898</v>
      </c>
      <c r="K37" s="51">
        <v>0.3588</v>
      </c>
      <c r="L37" s="51" t="s">
        <v>63</v>
      </c>
      <c r="M37" s="51" t="s">
        <v>20</v>
      </c>
    </row>
    <row r="38" spans="1:13">
      <c r="A38" s="51" t="s">
        <v>41</v>
      </c>
      <c r="B38" s="51" t="s">
        <v>66</v>
      </c>
      <c r="C38" s="51">
        <v>40</v>
      </c>
      <c r="D38" s="51">
        <v>0.01</v>
      </c>
      <c r="E38" s="51">
        <v>9.9855</v>
      </c>
      <c r="F38" s="51">
        <v>5</v>
      </c>
      <c r="G38" s="51">
        <v>25</v>
      </c>
      <c r="H38" s="51">
        <v>4</v>
      </c>
      <c r="I38" s="51">
        <v>0.02</v>
      </c>
      <c r="J38" s="51">
        <v>0.0755</v>
      </c>
      <c r="K38" s="51">
        <v>0.3608</v>
      </c>
      <c r="L38" s="51" t="s">
        <v>67</v>
      </c>
      <c r="M38" s="51" t="s">
        <v>16</v>
      </c>
    </row>
    <row r="39" spans="1:13">
      <c r="A39" s="51" t="s">
        <v>41</v>
      </c>
      <c r="B39" s="51" t="s">
        <v>68</v>
      </c>
      <c r="C39" s="51">
        <v>40</v>
      </c>
      <c r="D39" s="51">
        <v>0.0102</v>
      </c>
      <c r="E39" s="51">
        <v>10.199</v>
      </c>
      <c r="F39" s="51">
        <v>5</v>
      </c>
      <c r="G39" s="51">
        <v>25</v>
      </c>
      <c r="H39" s="51">
        <v>4</v>
      </c>
      <c r="I39" s="51">
        <v>0.02</v>
      </c>
      <c r="J39" s="51">
        <v>0.0755</v>
      </c>
      <c r="K39" s="51">
        <v>0.3669</v>
      </c>
      <c r="L39" s="51" t="s">
        <v>67</v>
      </c>
      <c r="M39" s="51" t="s">
        <v>18</v>
      </c>
    </row>
    <row r="40" spans="1:13">
      <c r="A40" s="51" t="s">
        <v>41</v>
      </c>
      <c r="B40" s="51" t="s">
        <v>69</v>
      </c>
      <c r="C40" s="51">
        <v>40</v>
      </c>
      <c r="D40" s="51">
        <v>0.0103</v>
      </c>
      <c r="E40" s="51">
        <v>10.3075</v>
      </c>
      <c r="F40" s="51">
        <v>5</v>
      </c>
      <c r="G40" s="51">
        <v>25</v>
      </c>
      <c r="H40" s="51">
        <v>4</v>
      </c>
      <c r="I40" s="51">
        <v>0.02</v>
      </c>
      <c r="J40" s="51">
        <v>0.0755</v>
      </c>
      <c r="K40" s="51">
        <v>0.37</v>
      </c>
      <c r="L40" s="51" t="s">
        <v>67</v>
      </c>
      <c r="M40" s="51" t="s">
        <v>20</v>
      </c>
    </row>
    <row r="41" spans="1:13">
      <c r="A41" s="51" t="s">
        <v>70</v>
      </c>
      <c r="B41" s="51" t="s">
        <v>71</v>
      </c>
      <c r="C41" s="51">
        <v>40</v>
      </c>
      <c r="D41" s="51">
        <v>0.0079</v>
      </c>
      <c r="E41" s="51">
        <v>7.875</v>
      </c>
      <c r="F41" s="51">
        <v>5</v>
      </c>
      <c r="G41" s="51">
        <v>25</v>
      </c>
      <c r="H41" s="51">
        <v>4</v>
      </c>
      <c r="I41" s="51">
        <v>0.02</v>
      </c>
      <c r="J41" s="51">
        <v>0.083</v>
      </c>
      <c r="K41" s="51">
        <v>0.308</v>
      </c>
      <c r="L41" s="51" t="s">
        <v>72</v>
      </c>
      <c r="M41" s="51" t="s">
        <v>16</v>
      </c>
    </row>
    <row r="42" spans="1:13">
      <c r="A42" s="51" t="s">
        <v>70</v>
      </c>
      <c r="B42" s="51" t="s">
        <v>73</v>
      </c>
      <c r="C42" s="51">
        <v>40</v>
      </c>
      <c r="D42" s="51">
        <v>0.0079</v>
      </c>
      <c r="E42" s="51">
        <v>7.875</v>
      </c>
      <c r="F42" s="51">
        <v>5</v>
      </c>
      <c r="G42" s="51">
        <v>25</v>
      </c>
      <c r="H42" s="51">
        <v>4</v>
      </c>
      <c r="I42" s="51">
        <v>0.02</v>
      </c>
      <c r="J42" s="51">
        <v>0.083</v>
      </c>
      <c r="K42" s="51">
        <v>0.308</v>
      </c>
      <c r="L42" s="51" t="s">
        <v>72</v>
      </c>
      <c r="M42" s="51" t="s">
        <v>18</v>
      </c>
    </row>
    <row r="43" spans="1:13">
      <c r="A43" s="51" t="s">
        <v>70</v>
      </c>
      <c r="B43" s="51" t="s">
        <v>74</v>
      </c>
      <c r="C43" s="51">
        <v>40</v>
      </c>
      <c r="D43" s="51">
        <v>0.0086</v>
      </c>
      <c r="E43" s="51">
        <v>8.5505</v>
      </c>
      <c r="F43" s="51">
        <v>5</v>
      </c>
      <c r="G43" s="51">
        <v>25</v>
      </c>
      <c r="H43" s="51">
        <v>4</v>
      </c>
      <c r="I43" s="51">
        <v>0.02</v>
      </c>
      <c r="J43" s="51">
        <v>0.083</v>
      </c>
      <c r="K43" s="51">
        <v>0.3273</v>
      </c>
      <c r="L43" s="51" t="s">
        <v>72</v>
      </c>
      <c r="M43" s="51" t="s">
        <v>20</v>
      </c>
    </row>
    <row r="44" spans="1:13">
      <c r="A44" s="51" t="s">
        <v>70</v>
      </c>
      <c r="B44" s="51" t="s">
        <v>75</v>
      </c>
      <c r="C44" s="51">
        <v>40</v>
      </c>
      <c r="D44" s="51">
        <v>0.0092</v>
      </c>
      <c r="E44" s="51">
        <v>9.226</v>
      </c>
      <c r="F44" s="51">
        <v>5</v>
      </c>
      <c r="G44" s="51">
        <v>25</v>
      </c>
      <c r="H44" s="51">
        <v>4</v>
      </c>
      <c r="I44" s="51">
        <v>0.02</v>
      </c>
      <c r="J44" s="51">
        <v>0.083</v>
      </c>
      <c r="K44" s="51">
        <v>0.3466</v>
      </c>
      <c r="L44" s="51" t="s">
        <v>76</v>
      </c>
      <c r="M44" s="51" t="s">
        <v>16</v>
      </c>
    </row>
    <row r="45" spans="1:13">
      <c r="A45" s="51" t="s">
        <v>70</v>
      </c>
      <c r="B45" s="51" t="s">
        <v>77</v>
      </c>
      <c r="C45" s="51">
        <v>40</v>
      </c>
      <c r="D45" s="51">
        <v>0.0088</v>
      </c>
      <c r="E45" s="51">
        <v>8.764</v>
      </c>
      <c r="F45" s="51">
        <v>5</v>
      </c>
      <c r="G45" s="51">
        <v>25</v>
      </c>
      <c r="H45" s="51">
        <v>4</v>
      </c>
      <c r="I45" s="51">
        <v>0.02</v>
      </c>
      <c r="J45" s="51">
        <v>0.083</v>
      </c>
      <c r="K45" s="51">
        <v>0.3334</v>
      </c>
      <c r="L45" s="51" t="s">
        <v>76</v>
      </c>
      <c r="M45" s="51" t="s">
        <v>18</v>
      </c>
    </row>
    <row r="46" spans="1:13">
      <c r="A46" s="51" t="s">
        <v>70</v>
      </c>
      <c r="B46" s="51" t="s">
        <v>78</v>
      </c>
      <c r="C46" s="51">
        <v>40</v>
      </c>
      <c r="D46" s="51">
        <v>0.0079</v>
      </c>
      <c r="E46" s="51">
        <v>7.875</v>
      </c>
      <c r="F46" s="51">
        <v>5</v>
      </c>
      <c r="G46" s="51">
        <v>25</v>
      </c>
      <c r="H46" s="51">
        <v>4</v>
      </c>
      <c r="I46" s="51">
        <v>0.02</v>
      </c>
      <c r="J46" s="51">
        <v>0.083</v>
      </c>
      <c r="K46" s="51">
        <v>0.308</v>
      </c>
      <c r="L46" s="51" t="s">
        <v>76</v>
      </c>
      <c r="M46" s="51" t="s">
        <v>20</v>
      </c>
    </row>
    <row r="47" spans="1:13">
      <c r="A47" s="51" t="s">
        <v>70</v>
      </c>
      <c r="B47" s="51" t="s">
        <v>79</v>
      </c>
      <c r="C47" s="51">
        <v>40</v>
      </c>
      <c r="D47" s="51">
        <v>0.0082</v>
      </c>
      <c r="E47" s="51">
        <v>8.1585</v>
      </c>
      <c r="F47" s="51">
        <v>5</v>
      </c>
      <c r="G47" s="51">
        <v>25</v>
      </c>
      <c r="H47" s="51">
        <v>4</v>
      </c>
      <c r="I47" s="51">
        <v>0.02</v>
      </c>
      <c r="J47" s="51">
        <v>0.083</v>
      </c>
      <c r="K47" s="51">
        <v>0.3161</v>
      </c>
      <c r="L47" s="51" t="s">
        <v>80</v>
      </c>
      <c r="M47" s="51" t="s">
        <v>16</v>
      </c>
    </row>
    <row r="48" spans="1:13">
      <c r="A48" s="51" t="s">
        <v>70</v>
      </c>
      <c r="B48" s="51" t="s">
        <v>81</v>
      </c>
      <c r="C48" s="51">
        <v>40</v>
      </c>
      <c r="D48" s="51">
        <v>0.0063</v>
      </c>
      <c r="E48" s="51">
        <v>6.272</v>
      </c>
      <c r="F48" s="51">
        <v>5</v>
      </c>
      <c r="G48" s="51">
        <v>25</v>
      </c>
      <c r="H48" s="51">
        <v>4</v>
      </c>
      <c r="I48" s="51">
        <v>0.02</v>
      </c>
      <c r="J48" s="51">
        <v>0.083</v>
      </c>
      <c r="K48" s="51">
        <v>0.2622</v>
      </c>
      <c r="L48" s="51" t="s">
        <v>80</v>
      </c>
      <c r="M48" s="51" t="s">
        <v>18</v>
      </c>
    </row>
    <row r="49" spans="1:13">
      <c r="A49" s="51" t="s">
        <v>70</v>
      </c>
      <c r="B49" s="51" t="s">
        <v>82</v>
      </c>
      <c r="C49" s="51">
        <v>40</v>
      </c>
      <c r="D49" s="51">
        <v>0.0081</v>
      </c>
      <c r="E49" s="51">
        <v>8.1235</v>
      </c>
      <c r="F49" s="51">
        <v>5</v>
      </c>
      <c r="G49" s="51">
        <v>25</v>
      </c>
      <c r="H49" s="51">
        <v>4</v>
      </c>
      <c r="I49" s="51">
        <v>0.02</v>
      </c>
      <c r="J49" s="51">
        <v>0.083</v>
      </c>
      <c r="K49" s="51">
        <v>0.3151</v>
      </c>
      <c r="L49" s="51" t="s">
        <v>80</v>
      </c>
      <c r="M49" s="51" t="s">
        <v>20</v>
      </c>
    </row>
    <row r="50" spans="1:13">
      <c r="A50" s="51" t="s">
        <v>70</v>
      </c>
      <c r="B50" s="51" t="s">
        <v>83</v>
      </c>
      <c r="C50" s="51">
        <v>40</v>
      </c>
      <c r="D50" s="51">
        <v>0.0087</v>
      </c>
      <c r="E50" s="51">
        <v>8.6905</v>
      </c>
      <c r="F50" s="51">
        <v>5</v>
      </c>
      <c r="G50" s="51">
        <v>25</v>
      </c>
      <c r="H50" s="51">
        <v>4</v>
      </c>
      <c r="I50" s="51">
        <v>0.02</v>
      </c>
      <c r="J50" s="51">
        <v>0.083</v>
      </c>
      <c r="K50" s="51">
        <v>0.3313</v>
      </c>
      <c r="L50" s="51" t="s">
        <v>84</v>
      </c>
      <c r="M50" s="51" t="s">
        <v>16</v>
      </c>
    </row>
    <row r="51" spans="1:13">
      <c r="A51" s="51" t="s">
        <v>70</v>
      </c>
      <c r="B51" s="51" t="s">
        <v>85</v>
      </c>
      <c r="C51" s="51">
        <v>40</v>
      </c>
      <c r="D51" s="51">
        <v>0.0084</v>
      </c>
      <c r="E51" s="51">
        <v>8.372</v>
      </c>
      <c r="F51" s="51">
        <v>5</v>
      </c>
      <c r="G51" s="51">
        <v>25</v>
      </c>
      <c r="H51" s="51">
        <v>4</v>
      </c>
      <c r="I51" s="51">
        <v>0.02</v>
      </c>
      <c r="J51" s="51">
        <v>0.083</v>
      </c>
      <c r="K51" s="51">
        <v>0.3222</v>
      </c>
      <c r="L51" s="51" t="s">
        <v>84</v>
      </c>
      <c r="M51" s="51" t="s">
        <v>18</v>
      </c>
    </row>
    <row r="52" spans="1:13">
      <c r="A52" s="51" t="s">
        <v>70</v>
      </c>
      <c r="B52" s="51" t="s">
        <v>86</v>
      </c>
      <c r="C52" s="51">
        <v>40</v>
      </c>
      <c r="D52" s="51">
        <v>0.0089</v>
      </c>
      <c r="E52" s="51">
        <v>8.869</v>
      </c>
      <c r="F52" s="51">
        <v>5</v>
      </c>
      <c r="G52" s="51">
        <v>25</v>
      </c>
      <c r="H52" s="51">
        <v>4</v>
      </c>
      <c r="I52" s="51">
        <v>0.02</v>
      </c>
      <c r="J52" s="51">
        <v>0.083</v>
      </c>
      <c r="K52" s="51">
        <v>0.3364</v>
      </c>
      <c r="L52" s="51" t="s">
        <v>84</v>
      </c>
      <c r="M52" s="51" t="s">
        <v>20</v>
      </c>
    </row>
    <row r="53" spans="1:13">
      <c r="A53" s="51" t="s">
        <v>70</v>
      </c>
      <c r="B53" s="51" t="s">
        <v>87</v>
      </c>
      <c r="C53" s="51">
        <v>40</v>
      </c>
      <c r="D53" s="51">
        <v>0.0082</v>
      </c>
      <c r="E53" s="51">
        <v>8.2285</v>
      </c>
      <c r="F53" s="51">
        <v>5</v>
      </c>
      <c r="G53" s="51">
        <v>25</v>
      </c>
      <c r="H53" s="51">
        <v>4</v>
      </c>
      <c r="I53" s="51">
        <v>0.02</v>
      </c>
      <c r="J53" s="51">
        <v>0.083</v>
      </c>
      <c r="K53" s="51">
        <v>0.3181</v>
      </c>
      <c r="L53" s="51" t="s">
        <v>88</v>
      </c>
      <c r="M53" s="51" t="s">
        <v>16</v>
      </c>
    </row>
    <row r="54" spans="1:13">
      <c r="A54" s="51" t="s">
        <v>70</v>
      </c>
      <c r="B54" s="51" t="s">
        <v>89</v>
      </c>
      <c r="C54" s="51">
        <v>40</v>
      </c>
      <c r="D54" s="51">
        <v>0.0089</v>
      </c>
      <c r="E54" s="51">
        <v>8.869</v>
      </c>
      <c r="F54" s="51">
        <v>5</v>
      </c>
      <c r="G54" s="51">
        <v>25</v>
      </c>
      <c r="H54" s="51">
        <v>4</v>
      </c>
      <c r="I54" s="51">
        <v>0.02</v>
      </c>
      <c r="J54" s="51">
        <v>0.083</v>
      </c>
      <c r="K54" s="51">
        <v>0.3364</v>
      </c>
      <c r="L54" s="51" t="s">
        <v>88</v>
      </c>
      <c r="M54" s="51" t="s">
        <v>18</v>
      </c>
    </row>
    <row r="55" spans="1:13">
      <c r="A55" s="51" t="s">
        <v>70</v>
      </c>
      <c r="B55" s="51" t="s">
        <v>90</v>
      </c>
      <c r="C55" s="51">
        <v>40</v>
      </c>
      <c r="D55" s="51">
        <v>0.0082</v>
      </c>
      <c r="E55" s="51">
        <v>8.1585</v>
      </c>
      <c r="F55" s="51">
        <v>5</v>
      </c>
      <c r="G55" s="51">
        <v>25</v>
      </c>
      <c r="H55" s="51">
        <v>4</v>
      </c>
      <c r="I55" s="51">
        <v>0.02</v>
      </c>
      <c r="J55" s="51">
        <v>0.083</v>
      </c>
      <c r="K55" s="51">
        <v>0.3161</v>
      </c>
      <c r="L55" s="51" t="s">
        <v>88</v>
      </c>
      <c r="M55" s="51" t="s">
        <v>20</v>
      </c>
    </row>
    <row r="56" spans="1:13">
      <c r="A56" s="51" t="s">
        <v>70</v>
      </c>
      <c r="B56" s="51" t="s">
        <v>91</v>
      </c>
      <c r="C56" s="51">
        <v>40</v>
      </c>
      <c r="D56" s="51">
        <v>0.0082</v>
      </c>
      <c r="E56" s="51">
        <v>8.1585</v>
      </c>
      <c r="F56" s="51">
        <v>5</v>
      </c>
      <c r="G56" s="51">
        <v>25</v>
      </c>
      <c r="H56" s="51">
        <v>4</v>
      </c>
      <c r="I56" s="51">
        <v>0.02</v>
      </c>
      <c r="J56" s="51">
        <v>0.083</v>
      </c>
      <c r="K56" s="51">
        <v>0.3161</v>
      </c>
      <c r="L56" s="51" t="s">
        <v>92</v>
      </c>
      <c r="M56" s="51" t="s">
        <v>16</v>
      </c>
    </row>
    <row r="57" spans="1:13">
      <c r="A57" s="51" t="s">
        <v>70</v>
      </c>
      <c r="B57" s="51" t="s">
        <v>93</v>
      </c>
      <c r="C57" s="51">
        <v>40</v>
      </c>
      <c r="D57" s="51">
        <v>0.0095</v>
      </c>
      <c r="E57" s="51">
        <v>9.5095</v>
      </c>
      <c r="F57" s="51">
        <v>5</v>
      </c>
      <c r="G57" s="51">
        <v>25</v>
      </c>
      <c r="H57" s="51">
        <v>4</v>
      </c>
      <c r="I57" s="51">
        <v>0.02</v>
      </c>
      <c r="J57" s="51">
        <v>0.083</v>
      </c>
      <c r="K57" s="51">
        <v>0.3547</v>
      </c>
      <c r="L57" s="51" t="s">
        <v>92</v>
      </c>
      <c r="M57" s="51" t="s">
        <v>18</v>
      </c>
    </row>
    <row r="58" spans="1:13">
      <c r="A58" s="51" t="s">
        <v>70</v>
      </c>
      <c r="B58" s="51" t="s">
        <v>94</v>
      </c>
      <c r="C58" s="51">
        <v>40</v>
      </c>
      <c r="D58" s="51">
        <v>0.0098</v>
      </c>
      <c r="E58" s="51">
        <v>9.8315</v>
      </c>
      <c r="F58" s="51">
        <v>5</v>
      </c>
      <c r="G58" s="51">
        <v>25</v>
      </c>
      <c r="H58" s="51">
        <v>4</v>
      </c>
      <c r="I58" s="51">
        <v>0.02</v>
      </c>
      <c r="J58" s="51">
        <v>0.083</v>
      </c>
      <c r="K58" s="51">
        <v>0.3639</v>
      </c>
      <c r="L58" s="51" t="s">
        <v>92</v>
      </c>
      <c r="M58" s="51" t="s">
        <v>20</v>
      </c>
    </row>
    <row r="59" spans="1:13">
      <c r="A59" s="51" t="s">
        <v>70</v>
      </c>
      <c r="B59" s="51" t="s">
        <v>95</v>
      </c>
      <c r="C59" s="51">
        <v>40</v>
      </c>
      <c r="D59" s="51">
        <v>0.0084</v>
      </c>
      <c r="E59" s="51">
        <v>8.372</v>
      </c>
      <c r="F59" s="51">
        <v>5</v>
      </c>
      <c r="G59" s="51">
        <v>25</v>
      </c>
      <c r="H59" s="51">
        <v>4</v>
      </c>
      <c r="I59" s="51">
        <v>0.02</v>
      </c>
      <c r="J59" s="51">
        <v>0.083</v>
      </c>
      <c r="K59" s="51">
        <v>0.3222</v>
      </c>
      <c r="L59" s="51" t="s">
        <v>96</v>
      </c>
      <c r="M59" s="51" t="s">
        <v>16</v>
      </c>
    </row>
    <row r="60" spans="1:13">
      <c r="A60" s="51" t="s">
        <v>70</v>
      </c>
      <c r="B60" s="51" t="s">
        <v>97</v>
      </c>
      <c r="C60" s="51">
        <v>40</v>
      </c>
      <c r="D60" s="51">
        <v>0.0086</v>
      </c>
      <c r="E60" s="51">
        <v>8.6205</v>
      </c>
      <c r="F60" s="51">
        <v>5</v>
      </c>
      <c r="G60" s="51">
        <v>25</v>
      </c>
      <c r="H60" s="51">
        <v>4</v>
      </c>
      <c r="I60" s="51">
        <v>0.02</v>
      </c>
      <c r="J60" s="51">
        <v>0.083</v>
      </c>
      <c r="K60" s="51">
        <v>0.3293</v>
      </c>
      <c r="L60" s="51" t="s">
        <v>96</v>
      </c>
      <c r="M60" s="51" t="s">
        <v>18</v>
      </c>
    </row>
    <row r="61" spans="1:13">
      <c r="A61" s="51" t="s">
        <v>70</v>
      </c>
      <c r="B61" s="51" t="s">
        <v>98</v>
      </c>
      <c r="C61" s="51">
        <v>40</v>
      </c>
      <c r="D61" s="51">
        <v>0.0088</v>
      </c>
      <c r="E61" s="51">
        <v>8.834</v>
      </c>
      <c r="F61" s="51">
        <v>5</v>
      </c>
      <c r="G61" s="51">
        <v>25</v>
      </c>
      <c r="H61" s="51">
        <v>4</v>
      </c>
      <c r="I61" s="51">
        <v>0.02</v>
      </c>
      <c r="J61" s="51">
        <v>0.083</v>
      </c>
      <c r="K61" s="51">
        <v>0.3354</v>
      </c>
      <c r="L61" s="51" t="s">
        <v>96</v>
      </c>
      <c r="M61" s="51" t="s">
        <v>20</v>
      </c>
    </row>
    <row r="62" spans="1:13">
      <c r="A62" s="51" t="s">
        <v>13</v>
      </c>
      <c r="B62" s="51" t="s">
        <v>99</v>
      </c>
      <c r="C62" s="51">
        <v>30</v>
      </c>
      <c r="D62" s="51">
        <v>0.0124</v>
      </c>
      <c r="E62" s="51">
        <v>12.425</v>
      </c>
      <c r="F62" s="51">
        <v>5</v>
      </c>
      <c r="G62" s="51">
        <v>25</v>
      </c>
      <c r="H62" s="51">
        <v>4</v>
      </c>
      <c r="I62" s="51">
        <v>0.02</v>
      </c>
      <c r="J62" s="51">
        <v>0.0556</v>
      </c>
      <c r="K62" s="51">
        <v>0.4106</v>
      </c>
      <c r="L62" s="51" t="s">
        <v>100</v>
      </c>
      <c r="M62" s="51" t="s">
        <v>16</v>
      </c>
    </row>
    <row r="63" spans="1:13">
      <c r="A63" s="51" t="s">
        <v>13</v>
      </c>
      <c r="B63" s="51" t="s">
        <v>101</v>
      </c>
      <c r="C63" s="51">
        <v>30</v>
      </c>
      <c r="D63" s="51">
        <v>0.0126</v>
      </c>
      <c r="E63" s="51">
        <v>12.5685</v>
      </c>
      <c r="F63" s="51">
        <v>5</v>
      </c>
      <c r="G63" s="51">
        <v>25</v>
      </c>
      <c r="H63" s="51">
        <v>4</v>
      </c>
      <c r="I63" s="51">
        <v>0.02</v>
      </c>
      <c r="J63" s="51">
        <v>0.0556</v>
      </c>
      <c r="K63" s="51">
        <v>0.4147</v>
      </c>
      <c r="L63" s="51" t="s">
        <v>100</v>
      </c>
      <c r="M63" s="51" t="s">
        <v>18</v>
      </c>
    </row>
    <row r="64" spans="1:13">
      <c r="A64" s="51" t="s">
        <v>13</v>
      </c>
      <c r="B64" s="51" t="s">
        <v>102</v>
      </c>
      <c r="C64" s="51">
        <v>30</v>
      </c>
      <c r="D64" s="51">
        <v>0.0133</v>
      </c>
      <c r="E64" s="51">
        <v>13.244</v>
      </c>
      <c r="F64" s="51">
        <v>5</v>
      </c>
      <c r="G64" s="51">
        <v>25</v>
      </c>
      <c r="H64" s="51">
        <v>4</v>
      </c>
      <c r="I64" s="51">
        <v>0.02</v>
      </c>
      <c r="J64" s="51">
        <v>0.0556</v>
      </c>
      <c r="K64" s="51">
        <v>0.434</v>
      </c>
      <c r="L64" s="51" t="s">
        <v>100</v>
      </c>
      <c r="M64" s="51" t="s">
        <v>20</v>
      </c>
    </row>
    <row r="65" spans="1:13">
      <c r="A65" s="51" t="s">
        <v>13</v>
      </c>
      <c r="B65" s="51" t="s">
        <v>103</v>
      </c>
      <c r="C65" s="51">
        <v>30</v>
      </c>
      <c r="D65" s="51">
        <v>0.0125</v>
      </c>
      <c r="E65" s="51">
        <v>12.5335</v>
      </c>
      <c r="F65" s="51">
        <v>5</v>
      </c>
      <c r="G65" s="51">
        <v>25</v>
      </c>
      <c r="H65" s="51">
        <v>4</v>
      </c>
      <c r="I65" s="51">
        <v>0.02</v>
      </c>
      <c r="J65" s="51">
        <v>0.0556</v>
      </c>
      <c r="K65" s="51">
        <v>0.4137</v>
      </c>
      <c r="L65" s="51" t="s">
        <v>104</v>
      </c>
      <c r="M65" s="51" t="s">
        <v>16</v>
      </c>
    </row>
    <row r="66" spans="1:13">
      <c r="A66" s="51" t="s">
        <v>13</v>
      </c>
      <c r="B66" s="51" t="s">
        <v>105</v>
      </c>
      <c r="C66" s="51">
        <v>30</v>
      </c>
      <c r="D66" s="51">
        <v>0.0131</v>
      </c>
      <c r="E66" s="51">
        <v>13.1005</v>
      </c>
      <c r="F66" s="51">
        <v>5</v>
      </c>
      <c r="G66" s="51">
        <v>25</v>
      </c>
      <c r="H66" s="51">
        <v>4</v>
      </c>
      <c r="I66" s="51">
        <v>0.02</v>
      </c>
      <c r="J66" s="51">
        <v>0.0556</v>
      </c>
      <c r="K66" s="51">
        <v>0.4299</v>
      </c>
      <c r="L66" s="51" t="s">
        <v>104</v>
      </c>
      <c r="M66" s="51" t="s">
        <v>18</v>
      </c>
    </row>
    <row r="67" spans="1:13">
      <c r="A67" s="51" t="s">
        <v>13</v>
      </c>
      <c r="B67" s="51" t="s">
        <v>106</v>
      </c>
      <c r="C67" s="51">
        <v>30</v>
      </c>
      <c r="D67" s="51">
        <v>0.0123</v>
      </c>
      <c r="E67" s="51">
        <v>12.2815</v>
      </c>
      <c r="F67" s="51">
        <v>5</v>
      </c>
      <c r="G67" s="51">
        <v>25</v>
      </c>
      <c r="H67" s="51">
        <v>4</v>
      </c>
      <c r="I67" s="51">
        <v>0.02</v>
      </c>
      <c r="J67" s="51">
        <v>0.0556</v>
      </c>
      <c r="K67" s="51">
        <v>0.4065</v>
      </c>
      <c r="L67" s="51" t="s">
        <v>104</v>
      </c>
      <c r="M67" s="51" t="s">
        <v>20</v>
      </c>
    </row>
    <row r="68" spans="1:13">
      <c r="A68" s="51" t="s">
        <v>13</v>
      </c>
      <c r="B68" s="51" t="s">
        <v>107</v>
      </c>
      <c r="C68" s="51">
        <v>30</v>
      </c>
      <c r="D68" s="51">
        <v>0.0128</v>
      </c>
      <c r="E68" s="51">
        <v>12.782</v>
      </c>
      <c r="F68" s="51">
        <v>5</v>
      </c>
      <c r="G68" s="51">
        <v>25</v>
      </c>
      <c r="H68" s="51">
        <v>4</v>
      </c>
      <c r="I68" s="51">
        <v>0.02</v>
      </c>
      <c r="J68" s="51">
        <v>0.0556</v>
      </c>
      <c r="K68" s="51">
        <v>0.4208</v>
      </c>
      <c r="L68" s="51" t="s">
        <v>108</v>
      </c>
      <c r="M68" s="51" t="s">
        <v>16</v>
      </c>
    </row>
    <row r="69" spans="1:13">
      <c r="A69" s="51" t="s">
        <v>13</v>
      </c>
      <c r="B69" s="51" t="s">
        <v>109</v>
      </c>
      <c r="C69" s="51">
        <v>30</v>
      </c>
      <c r="D69" s="51">
        <v>0.0127</v>
      </c>
      <c r="E69" s="51">
        <v>12.7085</v>
      </c>
      <c r="F69" s="51">
        <v>5</v>
      </c>
      <c r="G69" s="51">
        <v>25</v>
      </c>
      <c r="H69" s="51">
        <v>4</v>
      </c>
      <c r="I69" s="51">
        <v>0.02</v>
      </c>
      <c r="J69" s="51">
        <v>0.0556</v>
      </c>
      <c r="K69" s="51">
        <v>0.4187</v>
      </c>
      <c r="L69" s="51" t="s">
        <v>108</v>
      </c>
      <c r="M69" s="51" t="s">
        <v>18</v>
      </c>
    </row>
    <row r="70" spans="1:13">
      <c r="A70" s="51" t="s">
        <v>13</v>
      </c>
      <c r="B70" s="51" t="s">
        <v>110</v>
      </c>
      <c r="C70" s="51">
        <v>30</v>
      </c>
      <c r="D70" s="51">
        <v>0.0126</v>
      </c>
      <c r="E70" s="51">
        <v>12.6385</v>
      </c>
      <c r="F70" s="51">
        <v>5</v>
      </c>
      <c r="G70" s="51">
        <v>25</v>
      </c>
      <c r="H70" s="51">
        <v>4</v>
      </c>
      <c r="I70" s="51">
        <v>0.02</v>
      </c>
      <c r="J70" s="51">
        <v>0.0556</v>
      </c>
      <c r="K70" s="51">
        <v>0.4167</v>
      </c>
      <c r="L70" s="51" t="s">
        <v>108</v>
      </c>
      <c r="M70" s="51" t="s">
        <v>20</v>
      </c>
    </row>
    <row r="71" spans="1:13">
      <c r="A71" s="51" t="s">
        <v>13</v>
      </c>
      <c r="B71" s="51" t="s">
        <v>111</v>
      </c>
      <c r="C71" s="51">
        <v>30</v>
      </c>
      <c r="D71" s="51">
        <v>0.0124</v>
      </c>
      <c r="E71" s="51">
        <v>12.39</v>
      </c>
      <c r="F71" s="51">
        <v>5</v>
      </c>
      <c r="G71" s="51">
        <v>25</v>
      </c>
      <c r="H71" s="51">
        <v>4</v>
      </c>
      <c r="I71" s="51">
        <v>0.02</v>
      </c>
      <c r="J71" s="51">
        <v>0.0556</v>
      </c>
      <c r="K71" s="51">
        <v>0.4096</v>
      </c>
      <c r="L71" s="51" t="s">
        <v>112</v>
      </c>
      <c r="M71" s="51" t="s">
        <v>16</v>
      </c>
    </row>
    <row r="72" spans="1:13">
      <c r="A72" s="51" t="s">
        <v>13</v>
      </c>
      <c r="B72" s="51" t="s">
        <v>113</v>
      </c>
      <c r="C72" s="51">
        <v>30</v>
      </c>
      <c r="D72" s="51">
        <v>0.0133</v>
      </c>
      <c r="E72" s="51">
        <v>13.279</v>
      </c>
      <c r="F72" s="51">
        <v>5</v>
      </c>
      <c r="G72" s="51">
        <v>25</v>
      </c>
      <c r="H72" s="51">
        <v>4</v>
      </c>
      <c r="I72" s="51">
        <v>0.02</v>
      </c>
      <c r="J72" s="51">
        <v>0.0556</v>
      </c>
      <c r="K72" s="51">
        <v>0.435</v>
      </c>
      <c r="L72" s="51" t="s">
        <v>112</v>
      </c>
      <c r="M72" s="51" t="s">
        <v>18</v>
      </c>
    </row>
    <row r="73" spans="1:13">
      <c r="A73" s="51" t="s">
        <v>13</v>
      </c>
      <c r="B73" s="51" t="s">
        <v>114</v>
      </c>
      <c r="C73" s="51">
        <v>30</v>
      </c>
      <c r="D73" s="51">
        <v>0.0127</v>
      </c>
      <c r="E73" s="51">
        <v>12.7085</v>
      </c>
      <c r="F73" s="51">
        <v>5</v>
      </c>
      <c r="G73" s="51">
        <v>25</v>
      </c>
      <c r="H73" s="51">
        <v>4</v>
      </c>
      <c r="I73" s="51">
        <v>0.02</v>
      </c>
      <c r="J73" s="51">
        <v>0.0556</v>
      </c>
      <c r="K73" s="51">
        <v>0.4187</v>
      </c>
      <c r="L73" s="51" t="s">
        <v>112</v>
      </c>
      <c r="M73" s="51" t="s">
        <v>20</v>
      </c>
    </row>
    <row r="74" spans="1:13">
      <c r="A74" s="51" t="s">
        <v>13</v>
      </c>
      <c r="B74" s="51" t="s">
        <v>115</v>
      </c>
      <c r="C74" s="51">
        <v>30</v>
      </c>
      <c r="D74" s="51">
        <v>0.0124</v>
      </c>
      <c r="E74" s="51">
        <v>12.355</v>
      </c>
      <c r="F74" s="51">
        <v>5</v>
      </c>
      <c r="G74" s="51">
        <v>25</v>
      </c>
      <c r="H74" s="51">
        <v>4</v>
      </c>
      <c r="I74" s="51">
        <v>0.02</v>
      </c>
      <c r="J74" s="51">
        <v>0.0556</v>
      </c>
      <c r="K74" s="51">
        <v>0.4086</v>
      </c>
      <c r="L74" s="51" t="s">
        <v>116</v>
      </c>
      <c r="M74" s="51" t="s">
        <v>16</v>
      </c>
    </row>
    <row r="75" spans="1:13">
      <c r="A75" s="51" t="s">
        <v>13</v>
      </c>
      <c r="B75" s="51" t="s">
        <v>117</v>
      </c>
      <c r="C75" s="51">
        <v>30</v>
      </c>
      <c r="D75" s="51">
        <v>0.0125</v>
      </c>
      <c r="E75" s="51">
        <v>12.495</v>
      </c>
      <c r="F75" s="51">
        <v>5</v>
      </c>
      <c r="G75" s="51">
        <v>25</v>
      </c>
      <c r="H75" s="51">
        <v>4</v>
      </c>
      <c r="I75" s="51">
        <v>0.02</v>
      </c>
      <c r="J75" s="51">
        <v>0.0556</v>
      </c>
      <c r="K75" s="51">
        <v>0.4126</v>
      </c>
      <c r="L75" s="51" t="s">
        <v>116</v>
      </c>
      <c r="M75" s="51" t="s">
        <v>18</v>
      </c>
    </row>
    <row r="76" spans="1:13">
      <c r="A76" s="51" t="s">
        <v>13</v>
      </c>
      <c r="B76" s="51" t="s">
        <v>118</v>
      </c>
      <c r="C76" s="51">
        <v>30</v>
      </c>
      <c r="D76" s="51">
        <v>0.0123</v>
      </c>
      <c r="E76" s="51">
        <v>12.2465</v>
      </c>
      <c r="F76" s="51">
        <v>5</v>
      </c>
      <c r="G76" s="51">
        <v>25</v>
      </c>
      <c r="H76" s="51">
        <v>4</v>
      </c>
      <c r="I76" s="51">
        <v>0.02</v>
      </c>
      <c r="J76" s="51">
        <v>0.0556</v>
      </c>
      <c r="K76" s="51">
        <v>0.4055</v>
      </c>
      <c r="L76" s="51" t="s">
        <v>116</v>
      </c>
      <c r="M76" s="51" t="s">
        <v>20</v>
      </c>
    </row>
    <row r="77" spans="1:13">
      <c r="A77" s="51" t="s">
        <v>13</v>
      </c>
      <c r="B77" s="51" t="s">
        <v>119</v>
      </c>
      <c r="C77" s="51">
        <v>30</v>
      </c>
      <c r="D77" s="51">
        <v>0.0124</v>
      </c>
      <c r="E77" s="51">
        <v>12.355</v>
      </c>
      <c r="F77" s="51">
        <v>5</v>
      </c>
      <c r="G77" s="51">
        <v>25</v>
      </c>
      <c r="H77" s="51">
        <v>4</v>
      </c>
      <c r="I77" s="51">
        <v>0.02</v>
      </c>
      <c r="J77" s="51">
        <v>0.0556</v>
      </c>
      <c r="K77" s="51">
        <v>0.4086</v>
      </c>
      <c r="L77" s="51" t="s">
        <v>120</v>
      </c>
      <c r="M77" s="51" t="s">
        <v>16</v>
      </c>
    </row>
    <row r="78" spans="1:13">
      <c r="A78" s="51" t="s">
        <v>13</v>
      </c>
      <c r="B78" s="51" t="s">
        <v>121</v>
      </c>
      <c r="C78" s="51">
        <v>30</v>
      </c>
      <c r="D78" s="51">
        <v>0.0122</v>
      </c>
      <c r="E78" s="51">
        <v>12.2115</v>
      </c>
      <c r="F78" s="51">
        <v>5</v>
      </c>
      <c r="G78" s="51">
        <v>25</v>
      </c>
      <c r="H78" s="51">
        <v>4</v>
      </c>
      <c r="I78" s="51">
        <v>0.02</v>
      </c>
      <c r="J78" s="51">
        <v>0.0556</v>
      </c>
      <c r="K78" s="51">
        <v>0.4045</v>
      </c>
      <c r="L78" s="51" t="s">
        <v>120</v>
      </c>
      <c r="M78" s="51" t="s">
        <v>18</v>
      </c>
    </row>
    <row r="79" spans="1:13">
      <c r="A79" s="51" t="s">
        <v>13</v>
      </c>
      <c r="B79" s="51" t="s">
        <v>122</v>
      </c>
      <c r="C79" s="51">
        <v>30</v>
      </c>
      <c r="D79" s="51">
        <v>0.0121</v>
      </c>
      <c r="E79" s="51">
        <v>12.1065</v>
      </c>
      <c r="F79" s="51">
        <v>5</v>
      </c>
      <c r="G79" s="51">
        <v>25</v>
      </c>
      <c r="H79" s="51">
        <v>4</v>
      </c>
      <c r="I79" s="51">
        <v>0.02</v>
      </c>
      <c r="J79" s="51">
        <v>0.0556</v>
      </c>
      <c r="K79" s="51">
        <v>0.4015</v>
      </c>
      <c r="L79" s="51" t="s">
        <v>120</v>
      </c>
      <c r="M79" s="51" t="s">
        <v>20</v>
      </c>
    </row>
    <row r="80" spans="1:13">
      <c r="A80" s="51" t="s">
        <v>41</v>
      </c>
      <c r="B80" s="51" t="s">
        <v>123</v>
      </c>
      <c r="C80" s="51">
        <v>30</v>
      </c>
      <c r="D80" s="51">
        <v>0.0124</v>
      </c>
      <c r="E80" s="51">
        <v>12.439</v>
      </c>
      <c r="F80" s="51">
        <v>5</v>
      </c>
      <c r="G80" s="51">
        <v>25</v>
      </c>
      <c r="H80" s="51">
        <v>4</v>
      </c>
      <c r="I80" s="51">
        <v>0.02</v>
      </c>
      <c r="J80" s="51">
        <v>0.0776</v>
      </c>
      <c r="K80" s="51">
        <v>0.433</v>
      </c>
      <c r="L80" s="51" t="s">
        <v>124</v>
      </c>
      <c r="M80" s="51" t="s">
        <v>16</v>
      </c>
    </row>
    <row r="81" spans="1:13">
      <c r="A81" s="51" t="s">
        <v>41</v>
      </c>
      <c r="B81" s="51" t="s">
        <v>125</v>
      </c>
      <c r="C81" s="51">
        <v>30</v>
      </c>
      <c r="D81" s="51">
        <v>0.0121</v>
      </c>
      <c r="E81" s="51">
        <v>12.082</v>
      </c>
      <c r="F81" s="51">
        <v>5</v>
      </c>
      <c r="G81" s="51">
        <v>25</v>
      </c>
      <c r="H81" s="51">
        <v>4</v>
      </c>
      <c r="I81" s="51">
        <v>0.02</v>
      </c>
      <c r="J81" s="51">
        <v>0.0776</v>
      </c>
      <c r="K81" s="51">
        <v>0.4228</v>
      </c>
      <c r="L81" s="51" t="s">
        <v>124</v>
      </c>
      <c r="M81" s="51" t="s">
        <v>18</v>
      </c>
    </row>
    <row r="82" spans="1:13">
      <c r="A82" s="51" t="s">
        <v>41</v>
      </c>
      <c r="B82" s="51" t="s">
        <v>126</v>
      </c>
      <c r="C82" s="51">
        <v>30</v>
      </c>
      <c r="D82" s="51">
        <v>0.0122</v>
      </c>
      <c r="E82" s="51">
        <v>12.152</v>
      </c>
      <c r="F82" s="51">
        <v>5</v>
      </c>
      <c r="G82" s="51">
        <v>25</v>
      </c>
      <c r="H82" s="51">
        <v>4</v>
      </c>
      <c r="I82" s="51">
        <v>0.02</v>
      </c>
      <c r="J82" s="51">
        <v>0.0776</v>
      </c>
      <c r="K82" s="51">
        <v>0.4248</v>
      </c>
      <c r="L82" s="51" t="s">
        <v>124</v>
      </c>
      <c r="M82" s="51" t="s">
        <v>20</v>
      </c>
    </row>
    <row r="83" spans="1:13">
      <c r="A83" s="51" t="s">
        <v>41</v>
      </c>
      <c r="B83" s="51" t="s">
        <v>127</v>
      </c>
      <c r="C83" s="51">
        <v>30</v>
      </c>
      <c r="D83" s="51">
        <v>0.0123</v>
      </c>
      <c r="E83" s="51">
        <v>12.2605</v>
      </c>
      <c r="F83" s="51">
        <v>5</v>
      </c>
      <c r="G83" s="51">
        <v>25</v>
      </c>
      <c r="H83" s="51">
        <v>4</v>
      </c>
      <c r="I83" s="51">
        <v>0.02</v>
      </c>
      <c r="J83" s="51">
        <v>0.0776</v>
      </c>
      <c r="K83" s="51">
        <v>0.4279</v>
      </c>
      <c r="L83" s="51" t="s">
        <v>128</v>
      </c>
      <c r="M83" s="51" t="s">
        <v>16</v>
      </c>
    </row>
    <row r="84" spans="1:13">
      <c r="A84" s="51" t="s">
        <v>41</v>
      </c>
      <c r="B84" s="51" t="s">
        <v>129</v>
      </c>
      <c r="C84" s="51">
        <v>30</v>
      </c>
      <c r="D84" s="51">
        <v>0.0118</v>
      </c>
      <c r="E84" s="51">
        <v>11.7635</v>
      </c>
      <c r="F84" s="51">
        <v>5</v>
      </c>
      <c r="G84" s="51">
        <v>25</v>
      </c>
      <c r="H84" s="51">
        <v>4</v>
      </c>
      <c r="I84" s="51">
        <v>0.02</v>
      </c>
      <c r="J84" s="51">
        <v>0.0776</v>
      </c>
      <c r="K84" s="51">
        <v>0.4137</v>
      </c>
      <c r="L84" s="51" t="s">
        <v>128</v>
      </c>
      <c r="M84" s="51" t="s">
        <v>18</v>
      </c>
    </row>
    <row r="85" spans="1:13">
      <c r="A85" s="51" t="s">
        <v>41</v>
      </c>
      <c r="B85" s="51" t="s">
        <v>130</v>
      </c>
      <c r="C85" s="51">
        <v>30</v>
      </c>
      <c r="D85" s="51">
        <v>0.0118</v>
      </c>
      <c r="E85" s="51">
        <v>11.7635</v>
      </c>
      <c r="F85" s="51">
        <v>5</v>
      </c>
      <c r="G85" s="51">
        <v>25</v>
      </c>
      <c r="H85" s="51">
        <v>4</v>
      </c>
      <c r="I85" s="51">
        <v>0.02</v>
      </c>
      <c r="J85" s="51">
        <v>0.0776</v>
      </c>
      <c r="K85" s="51">
        <v>0.4137</v>
      </c>
      <c r="L85" s="51" t="s">
        <v>128</v>
      </c>
      <c r="M85" s="51" t="s">
        <v>20</v>
      </c>
    </row>
    <row r="86" spans="1:13">
      <c r="A86" s="51" t="s">
        <v>41</v>
      </c>
      <c r="B86" s="51" t="s">
        <v>131</v>
      </c>
      <c r="C86" s="51">
        <v>30</v>
      </c>
      <c r="D86" s="51">
        <v>0.0113</v>
      </c>
      <c r="E86" s="51">
        <v>11.3365</v>
      </c>
      <c r="F86" s="51">
        <v>5</v>
      </c>
      <c r="G86" s="51">
        <v>25</v>
      </c>
      <c r="H86" s="51">
        <v>4</v>
      </c>
      <c r="I86" s="51">
        <v>0.02</v>
      </c>
      <c r="J86" s="51">
        <v>0.0776</v>
      </c>
      <c r="K86" s="51">
        <v>0.4015</v>
      </c>
      <c r="L86" s="51" t="s">
        <v>132</v>
      </c>
      <c r="M86" s="51" t="s">
        <v>16</v>
      </c>
    </row>
    <row r="87" spans="1:13">
      <c r="A87" s="51" t="s">
        <v>41</v>
      </c>
      <c r="B87" s="51" t="s">
        <v>133</v>
      </c>
      <c r="C87" s="51">
        <v>30</v>
      </c>
      <c r="D87" s="51">
        <v>0.0115</v>
      </c>
      <c r="E87" s="51">
        <v>11.5115</v>
      </c>
      <c r="F87" s="51">
        <v>5</v>
      </c>
      <c r="G87" s="51">
        <v>25</v>
      </c>
      <c r="H87" s="51">
        <v>4</v>
      </c>
      <c r="I87" s="51">
        <v>0.02</v>
      </c>
      <c r="J87" s="51">
        <v>0.0776</v>
      </c>
      <c r="K87" s="51">
        <v>0.4065</v>
      </c>
      <c r="L87" s="51" t="s">
        <v>132</v>
      </c>
      <c r="M87" s="51" t="s">
        <v>18</v>
      </c>
    </row>
    <row r="88" spans="1:13">
      <c r="A88" s="51" t="s">
        <v>41</v>
      </c>
      <c r="B88" s="51" t="s">
        <v>134</v>
      </c>
      <c r="C88" s="51">
        <v>30</v>
      </c>
      <c r="D88" s="51">
        <v>0.0119</v>
      </c>
      <c r="E88" s="51">
        <v>11.9035</v>
      </c>
      <c r="F88" s="51">
        <v>5</v>
      </c>
      <c r="G88" s="51">
        <v>25</v>
      </c>
      <c r="H88" s="51">
        <v>4</v>
      </c>
      <c r="I88" s="51">
        <v>0.02</v>
      </c>
      <c r="J88" s="51">
        <v>0.0776</v>
      </c>
      <c r="K88" s="51">
        <v>0.4177</v>
      </c>
      <c r="L88" s="51" t="s">
        <v>132</v>
      </c>
      <c r="M88" s="51" t="s">
        <v>20</v>
      </c>
    </row>
    <row r="89" spans="1:13">
      <c r="A89" s="51" t="s">
        <v>41</v>
      </c>
      <c r="B89" s="51" t="s">
        <v>135</v>
      </c>
      <c r="C89" s="51">
        <v>30</v>
      </c>
      <c r="D89" s="51">
        <v>0.0127</v>
      </c>
      <c r="E89" s="51">
        <v>12.6525</v>
      </c>
      <c r="F89" s="51">
        <v>5</v>
      </c>
      <c r="G89" s="51">
        <v>25</v>
      </c>
      <c r="H89" s="51">
        <v>4</v>
      </c>
      <c r="I89" s="51">
        <v>0.02</v>
      </c>
      <c r="J89" s="51">
        <v>0.0776</v>
      </c>
      <c r="K89" s="51">
        <v>0.4391</v>
      </c>
      <c r="L89" s="51" t="s">
        <v>136</v>
      </c>
      <c r="M89" s="51" t="s">
        <v>16</v>
      </c>
    </row>
    <row r="90" spans="1:13">
      <c r="A90" s="51" t="s">
        <v>41</v>
      </c>
      <c r="B90" s="51" t="s">
        <v>137</v>
      </c>
      <c r="C90" s="51">
        <v>30</v>
      </c>
      <c r="D90" s="51">
        <v>0.0122</v>
      </c>
      <c r="E90" s="51">
        <v>12.1905</v>
      </c>
      <c r="F90" s="51">
        <v>5</v>
      </c>
      <c r="G90" s="51">
        <v>25</v>
      </c>
      <c r="H90" s="51">
        <v>4</v>
      </c>
      <c r="I90" s="51">
        <v>0.02</v>
      </c>
      <c r="J90" s="51">
        <v>0.0776</v>
      </c>
      <c r="K90" s="51">
        <v>0.4259</v>
      </c>
      <c r="L90" s="51" t="s">
        <v>136</v>
      </c>
      <c r="M90" s="51" t="s">
        <v>18</v>
      </c>
    </row>
    <row r="91" spans="1:13">
      <c r="A91" s="51" t="s">
        <v>41</v>
      </c>
      <c r="B91" s="51" t="s">
        <v>138</v>
      </c>
      <c r="C91" s="51">
        <v>30</v>
      </c>
      <c r="D91" s="51">
        <v>0.0118</v>
      </c>
      <c r="E91" s="51">
        <v>11.8335</v>
      </c>
      <c r="F91" s="51">
        <v>5</v>
      </c>
      <c r="G91" s="51">
        <v>25</v>
      </c>
      <c r="H91" s="51">
        <v>4</v>
      </c>
      <c r="I91" s="51">
        <v>0.02</v>
      </c>
      <c r="J91" s="51">
        <v>0.0776</v>
      </c>
      <c r="K91" s="51">
        <v>0.4157</v>
      </c>
      <c r="L91" s="51" t="s">
        <v>136</v>
      </c>
      <c r="M91" s="51" t="s">
        <v>20</v>
      </c>
    </row>
    <row r="92" spans="1:13">
      <c r="A92" s="51" t="s">
        <v>41</v>
      </c>
      <c r="B92" s="51" t="s">
        <v>139</v>
      </c>
      <c r="C92" s="51">
        <v>30</v>
      </c>
      <c r="D92" s="51">
        <v>0.0117</v>
      </c>
      <c r="E92" s="51">
        <v>11.69</v>
      </c>
      <c r="F92" s="51">
        <v>5</v>
      </c>
      <c r="G92" s="51">
        <v>25</v>
      </c>
      <c r="H92" s="51">
        <v>4</v>
      </c>
      <c r="I92" s="51">
        <v>0.02</v>
      </c>
      <c r="J92" s="51">
        <v>0.0776</v>
      </c>
      <c r="K92" s="51">
        <v>0.4116</v>
      </c>
      <c r="L92" s="51" t="s">
        <v>140</v>
      </c>
      <c r="M92" s="51" t="s">
        <v>16</v>
      </c>
    </row>
    <row r="93" spans="1:13">
      <c r="A93" s="51" t="s">
        <v>41</v>
      </c>
      <c r="B93" s="51" t="s">
        <v>141</v>
      </c>
      <c r="C93" s="51">
        <v>30</v>
      </c>
      <c r="D93" s="51">
        <v>0.0115</v>
      </c>
      <c r="E93" s="51">
        <v>11.4765</v>
      </c>
      <c r="F93" s="51">
        <v>5</v>
      </c>
      <c r="G93" s="51">
        <v>25</v>
      </c>
      <c r="H93" s="51">
        <v>4</v>
      </c>
      <c r="I93" s="51">
        <v>0.02</v>
      </c>
      <c r="J93" s="51">
        <v>0.0776</v>
      </c>
      <c r="K93" s="51">
        <v>0.4055</v>
      </c>
      <c r="L93" s="51" t="s">
        <v>140</v>
      </c>
      <c r="M93" s="51" t="s">
        <v>18</v>
      </c>
    </row>
    <row r="94" spans="1:13">
      <c r="A94" s="51" t="s">
        <v>41</v>
      </c>
      <c r="B94" s="51" t="s">
        <v>142</v>
      </c>
      <c r="C94" s="51">
        <v>30</v>
      </c>
      <c r="D94" s="51">
        <v>0.0119</v>
      </c>
      <c r="E94" s="51">
        <v>11.9385</v>
      </c>
      <c r="F94" s="51">
        <v>5</v>
      </c>
      <c r="G94" s="51">
        <v>25</v>
      </c>
      <c r="H94" s="51">
        <v>4</v>
      </c>
      <c r="I94" s="51">
        <v>0.02</v>
      </c>
      <c r="J94" s="51">
        <v>0.0776</v>
      </c>
      <c r="K94" s="51">
        <v>0.4187</v>
      </c>
      <c r="L94" s="51" t="s">
        <v>140</v>
      </c>
      <c r="M94" s="51" t="s">
        <v>20</v>
      </c>
    </row>
    <row r="95" spans="1:13">
      <c r="A95" s="51" t="s">
        <v>41</v>
      </c>
      <c r="B95" s="51" t="s">
        <v>143</v>
      </c>
      <c r="C95" s="51">
        <v>30</v>
      </c>
      <c r="D95" s="51">
        <v>0.0112</v>
      </c>
      <c r="E95" s="51">
        <v>11.193</v>
      </c>
      <c r="F95" s="51">
        <v>5</v>
      </c>
      <c r="G95" s="51">
        <v>25</v>
      </c>
      <c r="H95" s="51">
        <v>4</v>
      </c>
      <c r="I95" s="51">
        <v>0.02</v>
      </c>
      <c r="J95" s="51">
        <v>0.0776</v>
      </c>
      <c r="K95" s="51">
        <v>0.3974</v>
      </c>
      <c r="L95" s="51" t="s">
        <v>144</v>
      </c>
      <c r="M95" s="51" t="s">
        <v>16</v>
      </c>
    </row>
    <row r="96" spans="1:13">
      <c r="A96" s="51" t="s">
        <v>41</v>
      </c>
      <c r="B96" s="51" t="s">
        <v>145</v>
      </c>
      <c r="C96" s="51">
        <v>30</v>
      </c>
      <c r="D96" s="51">
        <v>0.011</v>
      </c>
      <c r="E96" s="51">
        <v>11.0145</v>
      </c>
      <c r="F96" s="51">
        <v>5</v>
      </c>
      <c r="G96" s="51">
        <v>25</v>
      </c>
      <c r="H96" s="51">
        <v>4</v>
      </c>
      <c r="I96" s="51">
        <v>0.02</v>
      </c>
      <c r="J96" s="51">
        <v>0.0776</v>
      </c>
      <c r="K96" s="51">
        <v>0.3923</v>
      </c>
      <c r="L96" s="51" t="s">
        <v>144</v>
      </c>
      <c r="M96" s="51" t="s">
        <v>18</v>
      </c>
    </row>
    <row r="97" spans="1:13">
      <c r="A97" s="51" t="s">
        <v>41</v>
      </c>
      <c r="B97" s="51" t="s">
        <v>146</v>
      </c>
      <c r="C97" s="51">
        <v>30</v>
      </c>
      <c r="D97" s="51">
        <v>0.0112</v>
      </c>
      <c r="E97" s="51">
        <v>11.228</v>
      </c>
      <c r="F97" s="51">
        <v>5</v>
      </c>
      <c r="G97" s="51">
        <v>25</v>
      </c>
      <c r="H97" s="51">
        <v>4</v>
      </c>
      <c r="I97" s="51">
        <v>0.02</v>
      </c>
      <c r="J97" s="51">
        <v>0.0776</v>
      </c>
      <c r="K97" s="51">
        <v>0.3984</v>
      </c>
      <c r="L97" s="51" t="s">
        <v>144</v>
      </c>
      <c r="M97" s="51" t="s">
        <v>20</v>
      </c>
    </row>
    <row r="98" spans="1:13">
      <c r="A98" s="51" t="s">
        <v>70</v>
      </c>
      <c r="B98" s="51" t="s">
        <v>147</v>
      </c>
      <c r="C98" s="51">
        <v>30</v>
      </c>
      <c r="D98" s="51">
        <v>0.01</v>
      </c>
      <c r="E98" s="51">
        <v>9.961</v>
      </c>
      <c r="F98" s="51">
        <v>5</v>
      </c>
      <c r="G98" s="51">
        <v>25</v>
      </c>
      <c r="H98" s="51">
        <v>4</v>
      </c>
      <c r="I98" s="51">
        <v>0.02</v>
      </c>
      <c r="J98" s="51">
        <v>0.0762</v>
      </c>
      <c r="K98" s="51">
        <v>0.3608</v>
      </c>
      <c r="L98" s="51" t="s">
        <v>148</v>
      </c>
      <c r="M98" s="51" t="s">
        <v>16</v>
      </c>
    </row>
    <row r="99" spans="1:13">
      <c r="A99" s="51" t="s">
        <v>70</v>
      </c>
      <c r="B99" s="51" t="s">
        <v>149</v>
      </c>
      <c r="C99" s="51">
        <v>30</v>
      </c>
      <c r="D99" s="51">
        <v>0.0097</v>
      </c>
      <c r="E99" s="51">
        <v>9.6775</v>
      </c>
      <c r="F99" s="51">
        <v>5</v>
      </c>
      <c r="G99" s="51">
        <v>25</v>
      </c>
      <c r="H99" s="51">
        <v>4</v>
      </c>
      <c r="I99" s="51">
        <v>0.02</v>
      </c>
      <c r="J99" s="51">
        <v>0.0762</v>
      </c>
      <c r="K99" s="51">
        <v>0.3527</v>
      </c>
      <c r="L99" s="51" t="s">
        <v>148</v>
      </c>
      <c r="M99" s="51" t="s">
        <v>18</v>
      </c>
    </row>
    <row r="100" spans="1:13">
      <c r="A100" s="51" t="s">
        <v>70</v>
      </c>
      <c r="B100" s="51" t="s">
        <v>150</v>
      </c>
      <c r="C100" s="51">
        <v>30</v>
      </c>
      <c r="D100" s="51">
        <v>0.0104</v>
      </c>
      <c r="E100" s="51">
        <v>10.388</v>
      </c>
      <c r="F100" s="51">
        <v>5</v>
      </c>
      <c r="G100" s="51">
        <v>25</v>
      </c>
      <c r="H100" s="51">
        <v>4</v>
      </c>
      <c r="I100" s="51">
        <v>0.02</v>
      </c>
      <c r="J100" s="51">
        <v>0.0762</v>
      </c>
      <c r="K100" s="51">
        <v>0.373</v>
      </c>
      <c r="L100" s="51" t="s">
        <v>148</v>
      </c>
      <c r="M100" s="51" t="s">
        <v>20</v>
      </c>
    </row>
    <row r="101" spans="1:13">
      <c r="A101" s="51" t="s">
        <v>70</v>
      </c>
      <c r="B101" s="51" t="s">
        <v>151</v>
      </c>
      <c r="C101" s="51">
        <v>30</v>
      </c>
      <c r="D101" s="51">
        <v>0.0088</v>
      </c>
      <c r="E101" s="51">
        <v>8.8235</v>
      </c>
      <c r="F101" s="51">
        <v>5</v>
      </c>
      <c r="G101" s="51">
        <v>25</v>
      </c>
      <c r="H101" s="51">
        <v>4</v>
      </c>
      <c r="I101" s="51">
        <v>0.02</v>
      </c>
      <c r="J101" s="51">
        <v>0.0762</v>
      </c>
      <c r="K101" s="51">
        <v>0.3283</v>
      </c>
      <c r="L101" s="51" t="s">
        <v>152</v>
      </c>
      <c r="M101" s="51" t="s">
        <v>16</v>
      </c>
    </row>
    <row r="102" spans="1:13">
      <c r="A102" s="51" t="s">
        <v>70</v>
      </c>
      <c r="B102" s="51" t="s">
        <v>153</v>
      </c>
      <c r="C102" s="51">
        <v>30</v>
      </c>
      <c r="D102" s="51">
        <v>0.0084</v>
      </c>
      <c r="E102" s="51">
        <v>8.3965</v>
      </c>
      <c r="F102" s="51">
        <v>5</v>
      </c>
      <c r="G102" s="51">
        <v>25</v>
      </c>
      <c r="H102" s="51">
        <v>4</v>
      </c>
      <c r="I102" s="51">
        <v>0.02</v>
      </c>
      <c r="J102" s="51">
        <v>0.0762</v>
      </c>
      <c r="K102" s="51">
        <v>0.3161</v>
      </c>
      <c r="L102" s="51" t="s">
        <v>152</v>
      </c>
      <c r="M102" s="51" t="s">
        <v>18</v>
      </c>
    </row>
    <row r="103" spans="1:13">
      <c r="A103" s="51" t="s">
        <v>70</v>
      </c>
      <c r="B103" s="51" t="s">
        <v>154</v>
      </c>
      <c r="C103" s="51">
        <v>30</v>
      </c>
      <c r="D103" s="51">
        <v>0.0083</v>
      </c>
      <c r="E103" s="51">
        <v>8.3265</v>
      </c>
      <c r="F103" s="51">
        <v>5</v>
      </c>
      <c r="G103" s="51">
        <v>25</v>
      </c>
      <c r="H103" s="51">
        <v>4</v>
      </c>
      <c r="I103" s="51">
        <v>0.02</v>
      </c>
      <c r="J103" s="51">
        <v>0.0762</v>
      </c>
      <c r="K103" s="51">
        <v>0.3141</v>
      </c>
      <c r="L103" s="51" t="s">
        <v>152</v>
      </c>
      <c r="M103" s="51" t="s">
        <v>20</v>
      </c>
    </row>
    <row r="104" spans="1:13">
      <c r="A104" s="51" t="s">
        <v>70</v>
      </c>
      <c r="B104" s="51" t="s">
        <v>155</v>
      </c>
      <c r="C104" s="51">
        <v>30</v>
      </c>
      <c r="D104" s="51">
        <v>0.0111</v>
      </c>
      <c r="E104" s="51">
        <v>11.0985</v>
      </c>
      <c r="F104" s="51">
        <v>5</v>
      </c>
      <c r="G104" s="51">
        <v>25</v>
      </c>
      <c r="H104" s="51">
        <v>4</v>
      </c>
      <c r="I104" s="51">
        <v>0.02</v>
      </c>
      <c r="J104" s="51">
        <v>0.0762</v>
      </c>
      <c r="K104" s="51">
        <v>0.3933</v>
      </c>
      <c r="L104" s="51" t="s">
        <v>156</v>
      </c>
      <c r="M104" s="51" t="s">
        <v>16</v>
      </c>
    </row>
    <row r="105" spans="1:13">
      <c r="A105" s="51" t="s">
        <v>70</v>
      </c>
      <c r="B105" s="51" t="s">
        <v>157</v>
      </c>
      <c r="C105" s="51">
        <v>30</v>
      </c>
      <c r="D105" s="51">
        <v>0.01</v>
      </c>
      <c r="E105" s="51">
        <v>9.996</v>
      </c>
      <c r="F105" s="51">
        <v>5</v>
      </c>
      <c r="G105" s="51">
        <v>25</v>
      </c>
      <c r="H105" s="51">
        <v>4</v>
      </c>
      <c r="I105" s="51">
        <v>0.02</v>
      </c>
      <c r="J105" s="51">
        <v>0.0762</v>
      </c>
      <c r="K105" s="51">
        <v>0.3618</v>
      </c>
      <c r="L105" s="51" t="s">
        <v>156</v>
      </c>
      <c r="M105" s="51" t="s">
        <v>18</v>
      </c>
    </row>
    <row r="106" spans="1:13">
      <c r="A106" s="51" t="s">
        <v>70</v>
      </c>
      <c r="B106" s="51" t="s">
        <v>158</v>
      </c>
      <c r="C106" s="51">
        <v>30</v>
      </c>
      <c r="D106" s="51">
        <v>0.0097</v>
      </c>
      <c r="E106" s="51">
        <v>9.7125</v>
      </c>
      <c r="F106" s="51">
        <v>5</v>
      </c>
      <c r="G106" s="51">
        <v>25</v>
      </c>
      <c r="H106" s="51">
        <v>4</v>
      </c>
      <c r="I106" s="51">
        <v>0.02</v>
      </c>
      <c r="J106" s="51">
        <v>0.0762</v>
      </c>
      <c r="K106" s="51">
        <v>0.3537</v>
      </c>
      <c r="L106" s="51" t="s">
        <v>156</v>
      </c>
      <c r="M106" s="51" t="s">
        <v>20</v>
      </c>
    </row>
    <row r="107" spans="1:13">
      <c r="A107" s="51" t="s">
        <v>70</v>
      </c>
      <c r="B107" s="51" t="s">
        <v>159</v>
      </c>
      <c r="C107" s="51">
        <v>30</v>
      </c>
      <c r="D107" s="51">
        <v>0.0095</v>
      </c>
      <c r="E107" s="51">
        <v>9.499</v>
      </c>
      <c r="F107" s="51">
        <v>5</v>
      </c>
      <c r="G107" s="51">
        <v>25</v>
      </c>
      <c r="H107" s="51">
        <v>4</v>
      </c>
      <c r="I107" s="51">
        <v>0.02</v>
      </c>
      <c r="J107" s="51">
        <v>0.0762</v>
      </c>
      <c r="K107" s="51">
        <v>0.3476</v>
      </c>
      <c r="L107" s="51" t="s">
        <v>160</v>
      </c>
      <c r="M107" s="51" t="s">
        <v>16</v>
      </c>
    </row>
    <row r="108" spans="1:13">
      <c r="A108" s="51" t="s">
        <v>70</v>
      </c>
      <c r="B108" s="51" t="s">
        <v>161</v>
      </c>
      <c r="C108" s="51">
        <v>30</v>
      </c>
      <c r="D108" s="51">
        <v>0.0109</v>
      </c>
      <c r="E108" s="51">
        <v>10.85</v>
      </c>
      <c r="F108" s="51">
        <v>5</v>
      </c>
      <c r="G108" s="51">
        <v>25</v>
      </c>
      <c r="H108" s="51">
        <v>4</v>
      </c>
      <c r="I108" s="51">
        <v>0.02</v>
      </c>
      <c r="J108" s="51">
        <v>0.0762</v>
      </c>
      <c r="K108" s="51">
        <v>0.3862</v>
      </c>
      <c r="L108" s="51" t="s">
        <v>160</v>
      </c>
      <c r="M108" s="51" t="s">
        <v>18</v>
      </c>
    </row>
    <row r="109" spans="1:13">
      <c r="A109" s="51" t="s">
        <v>70</v>
      </c>
      <c r="B109" s="51" t="s">
        <v>162</v>
      </c>
      <c r="C109" s="51">
        <v>30</v>
      </c>
      <c r="D109" s="51">
        <v>0.0106</v>
      </c>
      <c r="E109" s="51">
        <v>10.6365</v>
      </c>
      <c r="F109" s="51">
        <v>5</v>
      </c>
      <c r="G109" s="51">
        <v>25</v>
      </c>
      <c r="H109" s="51">
        <v>4</v>
      </c>
      <c r="I109" s="51">
        <v>0.02</v>
      </c>
      <c r="J109" s="51">
        <v>0.0762</v>
      </c>
      <c r="K109" s="51">
        <v>0.3801</v>
      </c>
      <c r="L109" s="51" t="s">
        <v>160</v>
      </c>
      <c r="M109" s="51" t="s">
        <v>20</v>
      </c>
    </row>
    <row r="110" spans="1:13">
      <c r="A110" s="51" t="s">
        <v>70</v>
      </c>
      <c r="B110" s="51" t="s">
        <v>163</v>
      </c>
      <c r="C110" s="51">
        <v>30</v>
      </c>
      <c r="D110" s="51">
        <v>0.009</v>
      </c>
      <c r="E110" s="51">
        <v>9.002</v>
      </c>
      <c r="F110" s="51">
        <v>5</v>
      </c>
      <c r="G110" s="51">
        <v>25</v>
      </c>
      <c r="H110" s="51">
        <v>4</v>
      </c>
      <c r="I110" s="51">
        <v>0.02</v>
      </c>
      <c r="J110" s="51">
        <v>0.0762</v>
      </c>
      <c r="K110" s="51">
        <v>0.3334</v>
      </c>
      <c r="L110" s="51" t="s">
        <v>164</v>
      </c>
      <c r="M110" s="51" t="s">
        <v>16</v>
      </c>
    </row>
    <row r="111" spans="1:13">
      <c r="A111" s="51" t="s">
        <v>70</v>
      </c>
      <c r="B111" s="51" t="s">
        <v>165</v>
      </c>
      <c r="C111" s="51">
        <v>30</v>
      </c>
      <c r="D111" s="51">
        <v>0.0088</v>
      </c>
      <c r="E111" s="51">
        <v>8.8235</v>
      </c>
      <c r="F111" s="51">
        <v>5</v>
      </c>
      <c r="G111" s="51">
        <v>25</v>
      </c>
      <c r="H111" s="51">
        <v>4</v>
      </c>
      <c r="I111" s="51">
        <v>0.02</v>
      </c>
      <c r="J111" s="51">
        <v>0.0762</v>
      </c>
      <c r="K111" s="51">
        <v>0.3283</v>
      </c>
      <c r="L111" s="51" t="s">
        <v>164</v>
      </c>
      <c r="M111" s="51" t="s">
        <v>18</v>
      </c>
    </row>
    <row r="112" spans="1:13">
      <c r="A112" s="51" t="s">
        <v>70</v>
      </c>
      <c r="B112" s="51" t="s">
        <v>166</v>
      </c>
      <c r="C112" s="51">
        <v>30</v>
      </c>
      <c r="D112" s="51">
        <v>0.0099</v>
      </c>
      <c r="E112" s="51">
        <v>9.891</v>
      </c>
      <c r="F112" s="51">
        <v>5</v>
      </c>
      <c r="G112" s="51">
        <v>25</v>
      </c>
      <c r="H112" s="51">
        <v>4</v>
      </c>
      <c r="I112" s="51">
        <v>0.02</v>
      </c>
      <c r="J112" s="51">
        <v>0.0762</v>
      </c>
      <c r="K112" s="51">
        <v>0.3588</v>
      </c>
      <c r="L112" s="51" t="s">
        <v>164</v>
      </c>
      <c r="M112" s="51" t="s">
        <v>20</v>
      </c>
    </row>
    <row r="113" spans="1:13">
      <c r="A113" s="51" t="s">
        <v>70</v>
      </c>
      <c r="B113" s="51" t="s">
        <v>167</v>
      </c>
      <c r="C113" s="51">
        <v>30</v>
      </c>
      <c r="D113" s="51">
        <v>0.0093</v>
      </c>
      <c r="E113" s="51">
        <v>9.2505</v>
      </c>
      <c r="F113" s="51">
        <v>5</v>
      </c>
      <c r="G113" s="51">
        <v>25</v>
      </c>
      <c r="H113" s="51">
        <v>4</v>
      </c>
      <c r="I113" s="51">
        <v>0.02</v>
      </c>
      <c r="J113" s="51">
        <v>0.0762</v>
      </c>
      <c r="K113" s="51">
        <v>0.3405</v>
      </c>
      <c r="L113" s="51" t="s">
        <v>168</v>
      </c>
      <c r="M113" s="51" t="s">
        <v>16</v>
      </c>
    </row>
    <row r="114" spans="1:13">
      <c r="A114" s="51" t="s">
        <v>70</v>
      </c>
      <c r="B114" s="51" t="s">
        <v>169</v>
      </c>
      <c r="C114" s="51">
        <v>30</v>
      </c>
      <c r="D114" s="51">
        <v>0.0061</v>
      </c>
      <c r="E114" s="51">
        <v>6.083</v>
      </c>
      <c r="F114" s="51">
        <v>5</v>
      </c>
      <c r="G114" s="51">
        <v>25</v>
      </c>
      <c r="H114" s="51">
        <v>4</v>
      </c>
      <c r="I114" s="51">
        <v>0.02</v>
      </c>
      <c r="J114" s="51">
        <v>0.0762</v>
      </c>
      <c r="K114" s="51">
        <v>0.25</v>
      </c>
      <c r="L114" s="51" t="s">
        <v>168</v>
      </c>
      <c r="M114" s="51" t="s">
        <v>18</v>
      </c>
    </row>
    <row r="115" spans="1:13">
      <c r="A115" s="51" t="s">
        <v>70</v>
      </c>
      <c r="B115" s="51" t="s">
        <v>170</v>
      </c>
      <c r="C115" s="51">
        <v>30</v>
      </c>
      <c r="D115" s="51">
        <v>0.007</v>
      </c>
      <c r="E115" s="51">
        <v>7.0455</v>
      </c>
      <c r="F115" s="51">
        <v>5</v>
      </c>
      <c r="G115" s="51">
        <v>25</v>
      </c>
      <c r="H115" s="51">
        <v>4</v>
      </c>
      <c r="I115" s="51">
        <v>0.02</v>
      </c>
      <c r="J115" s="51">
        <v>0.0762</v>
      </c>
      <c r="K115" s="51">
        <v>0.2775</v>
      </c>
      <c r="L115" s="51" t="s">
        <v>168</v>
      </c>
      <c r="M115" s="51" t="s">
        <v>20</v>
      </c>
    </row>
    <row r="116" spans="1:13">
      <c r="A116" s="51" t="s">
        <v>70</v>
      </c>
      <c r="B116" s="51" t="s">
        <v>171</v>
      </c>
      <c r="C116" s="51">
        <v>25</v>
      </c>
      <c r="D116" s="51">
        <v>0.0107</v>
      </c>
      <c r="E116" s="51">
        <v>10.682</v>
      </c>
      <c r="F116" s="51">
        <v>5</v>
      </c>
      <c r="G116" s="51">
        <v>25</v>
      </c>
      <c r="H116" s="51">
        <v>4</v>
      </c>
      <c r="I116" s="51">
        <v>0.02</v>
      </c>
      <c r="J116" s="51">
        <v>0.0556</v>
      </c>
      <c r="K116" s="51">
        <v>0.3608</v>
      </c>
      <c r="L116" s="51" t="s">
        <v>172</v>
      </c>
      <c r="M116" s="51" t="s">
        <v>16</v>
      </c>
    </row>
    <row r="117" spans="1:13">
      <c r="A117" s="51" t="s">
        <v>70</v>
      </c>
      <c r="B117" s="51" t="s">
        <v>173</v>
      </c>
      <c r="C117" s="51">
        <v>25</v>
      </c>
      <c r="D117" s="51">
        <v>0.0102</v>
      </c>
      <c r="E117" s="51">
        <v>10.185</v>
      </c>
      <c r="F117" s="51">
        <v>5</v>
      </c>
      <c r="G117" s="51">
        <v>25</v>
      </c>
      <c r="H117" s="51">
        <v>4</v>
      </c>
      <c r="I117" s="51">
        <v>0.02</v>
      </c>
      <c r="J117" s="51">
        <v>0.0556</v>
      </c>
      <c r="K117" s="51">
        <v>0.3466</v>
      </c>
      <c r="L117" s="51" t="s">
        <v>172</v>
      </c>
      <c r="M117" s="51" t="s">
        <v>18</v>
      </c>
    </row>
    <row r="118" spans="1:13">
      <c r="A118" s="51" t="s">
        <v>70</v>
      </c>
      <c r="B118" s="51" t="s">
        <v>174</v>
      </c>
      <c r="C118" s="51">
        <v>25</v>
      </c>
      <c r="D118" s="51">
        <v>0.0102</v>
      </c>
      <c r="E118" s="51">
        <v>10.15</v>
      </c>
      <c r="F118" s="51">
        <v>5</v>
      </c>
      <c r="G118" s="51">
        <v>25</v>
      </c>
      <c r="H118" s="51">
        <v>4</v>
      </c>
      <c r="I118" s="51">
        <v>0.02</v>
      </c>
      <c r="J118" s="51">
        <v>0.0556</v>
      </c>
      <c r="K118" s="51">
        <v>0.3456</v>
      </c>
      <c r="L118" s="51" t="s">
        <v>172</v>
      </c>
      <c r="M118" s="51" t="s">
        <v>20</v>
      </c>
    </row>
    <row r="119" spans="1:13">
      <c r="A119" s="51" t="s">
        <v>70</v>
      </c>
      <c r="B119" s="51" t="s">
        <v>175</v>
      </c>
      <c r="C119" s="51">
        <v>25</v>
      </c>
      <c r="D119" s="51">
        <v>0.0112</v>
      </c>
      <c r="E119" s="51">
        <v>11.144</v>
      </c>
      <c r="F119" s="51">
        <v>5</v>
      </c>
      <c r="G119" s="51">
        <v>25</v>
      </c>
      <c r="H119" s="51">
        <v>4</v>
      </c>
      <c r="I119" s="51">
        <v>0.02</v>
      </c>
      <c r="J119" s="51">
        <v>0.0556</v>
      </c>
      <c r="K119" s="51">
        <v>0.374</v>
      </c>
      <c r="L119" s="51" t="s">
        <v>176</v>
      </c>
      <c r="M119" s="51" t="s">
        <v>16</v>
      </c>
    </row>
    <row r="120" spans="1:13">
      <c r="A120" s="51" t="s">
        <v>70</v>
      </c>
      <c r="B120" s="51" t="s">
        <v>177</v>
      </c>
      <c r="C120" s="51">
        <v>25</v>
      </c>
      <c r="D120" s="51">
        <v>0.0108</v>
      </c>
      <c r="E120" s="51">
        <v>10.8255</v>
      </c>
      <c r="F120" s="51">
        <v>5</v>
      </c>
      <c r="G120" s="51">
        <v>25</v>
      </c>
      <c r="H120" s="51">
        <v>4</v>
      </c>
      <c r="I120" s="51">
        <v>0.02</v>
      </c>
      <c r="J120" s="51">
        <v>0.0556</v>
      </c>
      <c r="K120" s="51">
        <v>0.3649</v>
      </c>
      <c r="L120" s="51" t="s">
        <v>176</v>
      </c>
      <c r="M120" s="51" t="s">
        <v>18</v>
      </c>
    </row>
    <row r="121" spans="1:13">
      <c r="A121" s="51" t="s">
        <v>70</v>
      </c>
      <c r="B121" s="51" t="s">
        <v>178</v>
      </c>
      <c r="C121" s="51">
        <v>25</v>
      </c>
      <c r="D121" s="51">
        <v>0.0109</v>
      </c>
      <c r="E121" s="51">
        <v>10.9305</v>
      </c>
      <c r="F121" s="51">
        <v>5</v>
      </c>
      <c r="G121" s="51">
        <v>25</v>
      </c>
      <c r="H121" s="51">
        <v>4</v>
      </c>
      <c r="I121" s="51">
        <v>0.02</v>
      </c>
      <c r="J121" s="51">
        <v>0.0556</v>
      </c>
      <c r="K121" s="51">
        <v>0.3679</v>
      </c>
      <c r="L121" s="51" t="s">
        <v>176</v>
      </c>
      <c r="M121" s="51" t="s">
        <v>20</v>
      </c>
    </row>
    <row r="122" spans="1:13">
      <c r="A122" s="51" t="s">
        <v>70</v>
      </c>
      <c r="B122" s="51" t="s">
        <v>179</v>
      </c>
      <c r="C122" s="51">
        <v>25</v>
      </c>
      <c r="D122" s="51">
        <v>0.0099</v>
      </c>
      <c r="E122" s="51">
        <v>9.9015</v>
      </c>
      <c r="F122" s="51">
        <v>5</v>
      </c>
      <c r="G122" s="51">
        <v>25</v>
      </c>
      <c r="H122" s="51">
        <v>4</v>
      </c>
      <c r="I122" s="51">
        <v>0.02</v>
      </c>
      <c r="J122" s="51">
        <v>0.0556</v>
      </c>
      <c r="K122" s="51">
        <v>0.3385</v>
      </c>
      <c r="L122" s="51" t="s">
        <v>180</v>
      </c>
      <c r="M122" s="51" t="s">
        <v>16</v>
      </c>
    </row>
    <row r="123" spans="1:13">
      <c r="A123" s="51" t="s">
        <v>70</v>
      </c>
      <c r="B123" s="51" t="s">
        <v>181</v>
      </c>
      <c r="C123" s="51">
        <v>25</v>
      </c>
      <c r="D123" s="51">
        <v>0.0104</v>
      </c>
      <c r="E123" s="51">
        <v>10.3635</v>
      </c>
      <c r="F123" s="51">
        <v>5</v>
      </c>
      <c r="G123" s="51">
        <v>25</v>
      </c>
      <c r="H123" s="51">
        <v>4</v>
      </c>
      <c r="I123" s="51">
        <v>0.02</v>
      </c>
      <c r="J123" s="51">
        <v>0.0556</v>
      </c>
      <c r="K123" s="51">
        <v>0.3517</v>
      </c>
      <c r="L123" s="51" t="s">
        <v>180</v>
      </c>
      <c r="M123" s="51" t="s">
        <v>18</v>
      </c>
    </row>
    <row r="124" spans="1:13">
      <c r="A124" s="51" t="s">
        <v>70</v>
      </c>
      <c r="B124" s="51" t="s">
        <v>182</v>
      </c>
      <c r="C124" s="51">
        <v>25</v>
      </c>
      <c r="D124" s="51">
        <v>0.0097</v>
      </c>
      <c r="E124" s="51">
        <v>9.688</v>
      </c>
      <c r="F124" s="51">
        <v>5</v>
      </c>
      <c r="G124" s="51">
        <v>25</v>
      </c>
      <c r="H124" s="51">
        <v>4</v>
      </c>
      <c r="I124" s="51">
        <v>0.02</v>
      </c>
      <c r="J124" s="51">
        <v>0.0556</v>
      </c>
      <c r="K124" s="51">
        <v>0.3324</v>
      </c>
      <c r="L124" s="51" t="s">
        <v>180</v>
      </c>
      <c r="M124" s="51" t="s">
        <v>20</v>
      </c>
    </row>
    <row r="125" spans="1:13">
      <c r="A125" s="51" t="s">
        <v>70</v>
      </c>
      <c r="B125" s="51" t="s">
        <v>183</v>
      </c>
      <c r="C125" s="51">
        <v>25</v>
      </c>
      <c r="D125" s="51">
        <v>0.0102</v>
      </c>
      <c r="E125" s="51">
        <v>10.22</v>
      </c>
      <c r="F125" s="51">
        <v>5</v>
      </c>
      <c r="G125" s="51">
        <v>25</v>
      </c>
      <c r="H125" s="51">
        <v>4</v>
      </c>
      <c r="I125" s="51">
        <v>0.02</v>
      </c>
      <c r="J125" s="51">
        <v>0.0556</v>
      </c>
      <c r="K125" s="51">
        <v>0.3476</v>
      </c>
      <c r="L125" s="51" t="s">
        <v>184</v>
      </c>
      <c r="M125" s="51" t="s">
        <v>16</v>
      </c>
    </row>
    <row r="126" spans="1:13">
      <c r="A126" s="51" t="s">
        <v>70</v>
      </c>
      <c r="B126" s="51" t="s">
        <v>185</v>
      </c>
      <c r="C126" s="51">
        <v>25</v>
      </c>
      <c r="D126" s="51">
        <v>0.0097</v>
      </c>
      <c r="E126" s="51">
        <v>9.723</v>
      </c>
      <c r="F126" s="51">
        <v>5</v>
      </c>
      <c r="G126" s="51">
        <v>25</v>
      </c>
      <c r="H126" s="51">
        <v>4</v>
      </c>
      <c r="I126" s="51">
        <v>0.02</v>
      </c>
      <c r="J126" s="51">
        <v>0.0556</v>
      </c>
      <c r="K126" s="51">
        <v>0.3334</v>
      </c>
      <c r="L126" s="51" t="s">
        <v>184</v>
      </c>
      <c r="M126" s="51" t="s">
        <v>18</v>
      </c>
    </row>
    <row r="127" spans="1:13">
      <c r="A127" s="51" t="s">
        <v>70</v>
      </c>
      <c r="B127" s="51" t="s">
        <v>186</v>
      </c>
      <c r="C127" s="51">
        <v>25</v>
      </c>
      <c r="D127" s="51">
        <v>0.0098</v>
      </c>
      <c r="E127" s="51">
        <v>9.828</v>
      </c>
      <c r="F127" s="51">
        <v>5</v>
      </c>
      <c r="G127" s="51">
        <v>25</v>
      </c>
      <c r="H127" s="51">
        <v>4</v>
      </c>
      <c r="I127" s="51">
        <v>0.02</v>
      </c>
      <c r="J127" s="51">
        <v>0.0556</v>
      </c>
      <c r="K127" s="51">
        <v>0.3364</v>
      </c>
      <c r="L127" s="51" t="s">
        <v>184</v>
      </c>
      <c r="M127" s="51" t="s">
        <v>20</v>
      </c>
    </row>
    <row r="128" spans="1:13">
      <c r="A128" s="51" t="s">
        <v>70</v>
      </c>
      <c r="B128" s="51" t="s">
        <v>187</v>
      </c>
      <c r="C128" s="51">
        <v>25</v>
      </c>
      <c r="D128" s="51">
        <v>0.0101</v>
      </c>
      <c r="E128" s="51">
        <v>10.115</v>
      </c>
      <c r="F128" s="51">
        <v>5</v>
      </c>
      <c r="G128" s="51">
        <v>25</v>
      </c>
      <c r="H128" s="51">
        <v>4</v>
      </c>
      <c r="I128" s="51">
        <v>0.02</v>
      </c>
      <c r="J128" s="51">
        <v>0.0556</v>
      </c>
      <c r="K128" s="51">
        <v>0.3446</v>
      </c>
      <c r="L128" s="51" t="s">
        <v>188</v>
      </c>
      <c r="M128" s="51" t="s">
        <v>16</v>
      </c>
    </row>
    <row r="129" spans="1:13">
      <c r="A129" s="51" t="s">
        <v>70</v>
      </c>
      <c r="B129" s="51" t="s">
        <v>189</v>
      </c>
      <c r="C129" s="51">
        <v>25</v>
      </c>
      <c r="D129" s="51">
        <v>0.0105</v>
      </c>
      <c r="E129" s="51">
        <v>10.4685</v>
      </c>
      <c r="F129" s="51">
        <v>5</v>
      </c>
      <c r="G129" s="51">
        <v>25</v>
      </c>
      <c r="H129" s="51">
        <v>4</v>
      </c>
      <c r="I129" s="51">
        <v>0.02</v>
      </c>
      <c r="J129" s="51">
        <v>0.0556</v>
      </c>
      <c r="K129" s="51">
        <v>0.3547</v>
      </c>
      <c r="L129" s="51" t="s">
        <v>188</v>
      </c>
      <c r="M129" s="51" t="s">
        <v>18</v>
      </c>
    </row>
    <row r="130" spans="1:13">
      <c r="A130" s="51" t="s">
        <v>70</v>
      </c>
      <c r="B130" s="51" t="s">
        <v>190</v>
      </c>
      <c r="C130" s="51">
        <v>25</v>
      </c>
      <c r="D130" s="51">
        <v>0.0104</v>
      </c>
      <c r="E130" s="51">
        <v>10.4335</v>
      </c>
      <c r="F130" s="51">
        <v>5</v>
      </c>
      <c r="G130" s="51">
        <v>25</v>
      </c>
      <c r="H130" s="51">
        <v>4</v>
      </c>
      <c r="I130" s="51">
        <v>0.02</v>
      </c>
      <c r="J130" s="51">
        <v>0.0556</v>
      </c>
      <c r="K130" s="51">
        <v>0.3537</v>
      </c>
      <c r="L130" s="51" t="s">
        <v>188</v>
      </c>
      <c r="M130" s="51" t="s">
        <v>20</v>
      </c>
    </row>
    <row r="131" spans="1:13">
      <c r="A131" s="51" t="s">
        <v>70</v>
      </c>
      <c r="B131" s="51" t="s">
        <v>191</v>
      </c>
      <c r="C131" s="51">
        <v>25</v>
      </c>
      <c r="D131" s="51">
        <v>0.0102</v>
      </c>
      <c r="E131" s="51">
        <v>10.22</v>
      </c>
      <c r="F131" s="51">
        <v>5</v>
      </c>
      <c r="G131" s="51">
        <v>25</v>
      </c>
      <c r="H131" s="51">
        <v>4</v>
      </c>
      <c r="I131" s="51">
        <v>0.02</v>
      </c>
      <c r="J131" s="51">
        <v>0.0556</v>
      </c>
      <c r="K131" s="51">
        <v>0.3476</v>
      </c>
      <c r="L131" s="51" t="s">
        <v>192</v>
      </c>
      <c r="M131" s="51" t="s">
        <v>16</v>
      </c>
    </row>
    <row r="132" spans="1:13">
      <c r="A132" s="51" t="s">
        <v>70</v>
      </c>
      <c r="B132" s="51" t="s">
        <v>193</v>
      </c>
      <c r="C132" s="51">
        <v>25</v>
      </c>
      <c r="D132" s="51">
        <v>0.0099</v>
      </c>
      <c r="E132" s="51">
        <v>9.9365</v>
      </c>
      <c r="F132" s="51">
        <v>5</v>
      </c>
      <c r="G132" s="51">
        <v>25</v>
      </c>
      <c r="H132" s="51">
        <v>4</v>
      </c>
      <c r="I132" s="51">
        <v>0.02</v>
      </c>
      <c r="J132" s="51">
        <v>0.0556</v>
      </c>
      <c r="K132" s="51">
        <v>0.3395</v>
      </c>
      <c r="L132" s="51" t="s">
        <v>192</v>
      </c>
      <c r="M132" s="51" t="s">
        <v>18</v>
      </c>
    </row>
    <row r="133" spans="1:13">
      <c r="A133" s="51" t="s">
        <v>70</v>
      </c>
      <c r="B133" s="51" t="s">
        <v>194</v>
      </c>
      <c r="C133" s="51">
        <v>25</v>
      </c>
      <c r="D133" s="51">
        <v>0.0099</v>
      </c>
      <c r="E133" s="51">
        <v>9.9365</v>
      </c>
      <c r="F133" s="51">
        <v>5</v>
      </c>
      <c r="G133" s="51">
        <v>25</v>
      </c>
      <c r="H133" s="51">
        <v>4</v>
      </c>
      <c r="I133" s="51">
        <v>0.02</v>
      </c>
      <c r="J133" s="51">
        <v>0.0556</v>
      </c>
      <c r="K133" s="51">
        <v>0.3395</v>
      </c>
      <c r="L133" s="51" t="s">
        <v>192</v>
      </c>
      <c r="M133" s="51" t="s">
        <v>20</v>
      </c>
    </row>
    <row r="134" spans="1:13">
      <c r="A134" s="51" t="s">
        <v>41</v>
      </c>
      <c r="B134" s="51" t="s">
        <v>195</v>
      </c>
      <c r="C134" s="51">
        <v>25</v>
      </c>
      <c r="D134" s="51">
        <v>0.011</v>
      </c>
      <c r="E134" s="51">
        <v>10.969</v>
      </c>
      <c r="F134" s="51">
        <v>5</v>
      </c>
      <c r="G134" s="51">
        <v>25</v>
      </c>
      <c r="H134" s="51">
        <v>4</v>
      </c>
      <c r="I134" s="51">
        <v>0.02</v>
      </c>
      <c r="J134" s="51">
        <v>0.0708</v>
      </c>
      <c r="K134" s="51">
        <v>0.3842</v>
      </c>
      <c r="L134" s="51" t="s">
        <v>196</v>
      </c>
      <c r="M134" s="51" t="s">
        <v>16</v>
      </c>
    </row>
    <row r="135" spans="1:13">
      <c r="A135" s="51" t="s">
        <v>41</v>
      </c>
      <c r="B135" s="51" t="s">
        <v>197</v>
      </c>
      <c r="C135" s="51">
        <v>25</v>
      </c>
      <c r="D135" s="51">
        <v>0.012</v>
      </c>
      <c r="E135" s="51">
        <v>12.0015</v>
      </c>
      <c r="F135" s="51">
        <v>5</v>
      </c>
      <c r="G135" s="51">
        <v>25</v>
      </c>
      <c r="H135" s="51">
        <v>4</v>
      </c>
      <c r="I135" s="51">
        <v>0.02</v>
      </c>
      <c r="J135" s="51">
        <v>0.0708</v>
      </c>
      <c r="K135" s="51">
        <v>0.4137</v>
      </c>
      <c r="L135" s="51" t="s">
        <v>196</v>
      </c>
      <c r="M135" s="51" t="s">
        <v>18</v>
      </c>
    </row>
    <row r="136" spans="1:13">
      <c r="A136" s="51" t="s">
        <v>41</v>
      </c>
      <c r="B136" s="51" t="s">
        <v>198</v>
      </c>
      <c r="C136" s="51">
        <v>25</v>
      </c>
      <c r="D136" s="51">
        <v>0.0119</v>
      </c>
      <c r="E136" s="51">
        <v>11.858</v>
      </c>
      <c r="F136" s="51">
        <v>5</v>
      </c>
      <c r="G136" s="51">
        <v>25</v>
      </c>
      <c r="H136" s="51">
        <v>4</v>
      </c>
      <c r="I136" s="51">
        <v>0.02</v>
      </c>
      <c r="J136" s="51">
        <v>0.0708</v>
      </c>
      <c r="K136" s="51">
        <v>0.4096</v>
      </c>
      <c r="L136" s="51" t="s">
        <v>196</v>
      </c>
      <c r="M136" s="51" t="s">
        <v>20</v>
      </c>
    </row>
    <row r="137" spans="1:13">
      <c r="A137" s="51" t="s">
        <v>41</v>
      </c>
      <c r="B137" s="51" t="s">
        <v>199</v>
      </c>
      <c r="C137" s="51">
        <v>25</v>
      </c>
      <c r="D137" s="51">
        <v>0.0106</v>
      </c>
      <c r="E137" s="51">
        <v>10.577</v>
      </c>
      <c r="F137" s="51">
        <v>5</v>
      </c>
      <c r="G137" s="51">
        <v>25</v>
      </c>
      <c r="H137" s="51">
        <v>4</v>
      </c>
      <c r="I137" s="51">
        <v>0.02</v>
      </c>
      <c r="J137" s="51">
        <v>0.0708</v>
      </c>
      <c r="K137" s="51">
        <v>0.373</v>
      </c>
      <c r="L137" s="51" t="s">
        <v>200</v>
      </c>
      <c r="M137" s="51" t="s">
        <v>16</v>
      </c>
    </row>
    <row r="138" spans="1:13">
      <c r="A138" s="51" t="s">
        <v>41</v>
      </c>
      <c r="B138" s="51" t="s">
        <v>201</v>
      </c>
      <c r="C138" s="51">
        <v>25</v>
      </c>
      <c r="D138" s="51">
        <v>0.0113</v>
      </c>
      <c r="E138" s="51">
        <v>11.326</v>
      </c>
      <c r="F138" s="51">
        <v>5</v>
      </c>
      <c r="G138" s="51">
        <v>25</v>
      </c>
      <c r="H138" s="51">
        <v>4</v>
      </c>
      <c r="I138" s="51">
        <v>0.02</v>
      </c>
      <c r="J138" s="51">
        <v>0.0708</v>
      </c>
      <c r="K138" s="51">
        <v>0.3944</v>
      </c>
      <c r="L138" s="51" t="s">
        <v>200</v>
      </c>
      <c r="M138" s="51" t="s">
        <v>18</v>
      </c>
    </row>
    <row r="139" spans="1:13">
      <c r="A139" s="51" t="s">
        <v>41</v>
      </c>
      <c r="B139" s="51" t="s">
        <v>202</v>
      </c>
      <c r="C139" s="51">
        <v>25</v>
      </c>
      <c r="D139" s="51">
        <v>0.0109</v>
      </c>
      <c r="E139" s="51">
        <v>10.899</v>
      </c>
      <c r="F139" s="51">
        <v>5</v>
      </c>
      <c r="G139" s="51">
        <v>25</v>
      </c>
      <c r="H139" s="51">
        <v>4</v>
      </c>
      <c r="I139" s="51">
        <v>0.02</v>
      </c>
      <c r="J139" s="51">
        <v>0.0708</v>
      </c>
      <c r="K139" s="51">
        <v>0.3822</v>
      </c>
      <c r="L139" s="51" t="s">
        <v>200</v>
      </c>
      <c r="M139" s="51" t="s">
        <v>20</v>
      </c>
    </row>
    <row r="140" spans="1:13">
      <c r="A140" s="51" t="s">
        <v>41</v>
      </c>
      <c r="B140" s="51" t="s">
        <v>203</v>
      </c>
      <c r="C140" s="51">
        <v>25</v>
      </c>
      <c r="D140" s="51">
        <v>0.011</v>
      </c>
      <c r="E140" s="51">
        <v>11.389</v>
      </c>
      <c r="F140" s="51">
        <v>5</v>
      </c>
      <c r="G140" s="51">
        <v>25</v>
      </c>
      <c r="H140" s="51">
        <v>4</v>
      </c>
      <c r="I140" s="51">
        <v>0.02</v>
      </c>
      <c r="J140" s="51">
        <v>0.0708</v>
      </c>
      <c r="K140" s="51">
        <v>0.3962</v>
      </c>
      <c r="L140" s="51" t="s">
        <v>204</v>
      </c>
      <c r="M140" s="51" t="s">
        <v>16</v>
      </c>
    </row>
    <row r="141" spans="1:13">
      <c r="A141" s="51" t="s">
        <v>41</v>
      </c>
      <c r="B141" s="51" t="s">
        <v>205</v>
      </c>
      <c r="C141" s="51">
        <v>25</v>
      </c>
      <c r="D141" s="51">
        <v>0.012</v>
      </c>
      <c r="E141" s="51">
        <v>12.0015</v>
      </c>
      <c r="F141" s="51">
        <v>5</v>
      </c>
      <c r="G141" s="51">
        <v>25</v>
      </c>
      <c r="H141" s="51">
        <v>4</v>
      </c>
      <c r="I141" s="51">
        <v>0.02</v>
      </c>
      <c r="J141" s="51">
        <v>0.0708</v>
      </c>
      <c r="K141" s="51">
        <v>0.4137</v>
      </c>
      <c r="L141" s="51" t="s">
        <v>204</v>
      </c>
      <c r="M141" s="51" t="s">
        <v>18</v>
      </c>
    </row>
    <row r="142" spans="1:13">
      <c r="A142" s="51" t="s">
        <v>41</v>
      </c>
      <c r="B142" s="51" t="s">
        <v>206</v>
      </c>
      <c r="C142" s="51">
        <v>25</v>
      </c>
      <c r="D142" s="51">
        <v>0.0116</v>
      </c>
      <c r="E142" s="51">
        <v>11.6095</v>
      </c>
      <c r="F142" s="51">
        <v>5</v>
      </c>
      <c r="G142" s="51">
        <v>25</v>
      </c>
      <c r="H142" s="51">
        <v>4</v>
      </c>
      <c r="I142" s="51">
        <v>0.02</v>
      </c>
      <c r="J142" s="51">
        <v>0.0708</v>
      </c>
      <c r="K142" s="51">
        <v>0.4025</v>
      </c>
      <c r="L142" s="51" t="s">
        <v>204</v>
      </c>
      <c r="M142" s="51" t="s">
        <v>20</v>
      </c>
    </row>
    <row r="143" spans="1:13">
      <c r="A143" s="51" t="s">
        <v>41</v>
      </c>
      <c r="B143" s="51" t="s">
        <v>207</v>
      </c>
      <c r="C143" s="51">
        <v>25</v>
      </c>
      <c r="D143" s="51">
        <v>0.0104</v>
      </c>
      <c r="E143" s="51">
        <v>10.3635</v>
      </c>
      <c r="F143" s="51">
        <v>5</v>
      </c>
      <c r="G143" s="51">
        <v>25</v>
      </c>
      <c r="H143" s="51">
        <v>4</v>
      </c>
      <c r="I143" s="51">
        <v>0.02</v>
      </c>
      <c r="J143" s="51">
        <v>0.0708</v>
      </c>
      <c r="K143" s="51">
        <v>0.3669</v>
      </c>
      <c r="L143" s="51" t="s">
        <v>208</v>
      </c>
      <c r="M143" s="51" t="s">
        <v>16</v>
      </c>
    </row>
    <row r="144" spans="1:13">
      <c r="A144" s="51" t="s">
        <v>41</v>
      </c>
      <c r="B144" s="51" t="s">
        <v>209</v>
      </c>
      <c r="C144" s="51">
        <v>25</v>
      </c>
      <c r="D144" s="51">
        <v>0.011</v>
      </c>
      <c r="E144" s="51">
        <v>11.039</v>
      </c>
      <c r="F144" s="51">
        <v>5</v>
      </c>
      <c r="G144" s="51">
        <v>25</v>
      </c>
      <c r="H144" s="51">
        <v>4</v>
      </c>
      <c r="I144" s="51">
        <v>0.02</v>
      </c>
      <c r="J144" s="51">
        <v>0.0708</v>
      </c>
      <c r="K144" s="51">
        <v>0.3862</v>
      </c>
      <c r="L144" s="51" t="s">
        <v>208</v>
      </c>
      <c r="M144" s="51" t="s">
        <v>18</v>
      </c>
    </row>
    <row r="145" spans="1:13">
      <c r="A145" s="51" t="s">
        <v>41</v>
      </c>
      <c r="B145" s="51" t="s">
        <v>210</v>
      </c>
      <c r="C145" s="51">
        <v>25</v>
      </c>
      <c r="D145" s="51">
        <v>0.0109</v>
      </c>
      <c r="E145" s="51">
        <v>10.934</v>
      </c>
      <c r="F145" s="51">
        <v>5</v>
      </c>
      <c r="G145" s="51">
        <v>25</v>
      </c>
      <c r="H145" s="51">
        <v>4</v>
      </c>
      <c r="I145" s="51">
        <v>0.02</v>
      </c>
      <c r="J145" s="51">
        <v>0.0708</v>
      </c>
      <c r="K145" s="51">
        <v>0.3832</v>
      </c>
      <c r="L145" s="51" t="s">
        <v>208</v>
      </c>
      <c r="M145" s="51" t="s">
        <v>20</v>
      </c>
    </row>
    <row r="146" spans="1:13">
      <c r="A146" s="51" t="s">
        <v>41</v>
      </c>
      <c r="B146" s="51" t="s">
        <v>211</v>
      </c>
      <c r="C146" s="51">
        <v>25</v>
      </c>
      <c r="D146" s="51">
        <v>0.0112</v>
      </c>
      <c r="E146" s="51">
        <v>11.1825</v>
      </c>
      <c r="F146" s="51">
        <v>5</v>
      </c>
      <c r="G146" s="51">
        <v>25</v>
      </c>
      <c r="H146" s="51">
        <v>4</v>
      </c>
      <c r="I146" s="51">
        <v>0.02</v>
      </c>
      <c r="J146" s="51">
        <v>0.0708</v>
      </c>
      <c r="K146" s="51">
        <v>0.3903</v>
      </c>
      <c r="L146" s="51" t="s">
        <v>212</v>
      </c>
      <c r="M146" s="51" t="s">
        <v>16</v>
      </c>
    </row>
    <row r="147" spans="1:13">
      <c r="A147" s="51" t="s">
        <v>41</v>
      </c>
      <c r="B147" s="51" t="s">
        <v>213</v>
      </c>
      <c r="C147" s="51">
        <v>25</v>
      </c>
      <c r="D147" s="51">
        <v>0.0098</v>
      </c>
      <c r="E147" s="51">
        <v>9.8315</v>
      </c>
      <c r="F147" s="51">
        <v>5</v>
      </c>
      <c r="G147" s="51">
        <v>25</v>
      </c>
      <c r="H147" s="51">
        <v>4</v>
      </c>
      <c r="I147" s="51">
        <v>0.02</v>
      </c>
      <c r="J147" s="51">
        <v>0.0708</v>
      </c>
      <c r="K147" s="51">
        <v>0.3517</v>
      </c>
      <c r="L147" s="51" t="s">
        <v>212</v>
      </c>
      <c r="M147" s="51" t="s">
        <v>18</v>
      </c>
    </row>
    <row r="148" spans="1:13">
      <c r="A148" s="51" t="s">
        <v>41</v>
      </c>
      <c r="B148" s="51" t="s">
        <v>214</v>
      </c>
      <c r="C148" s="51">
        <v>25</v>
      </c>
      <c r="D148" s="51">
        <v>0.0119</v>
      </c>
      <c r="E148" s="51">
        <v>11.928</v>
      </c>
      <c r="F148" s="51">
        <v>5</v>
      </c>
      <c r="G148" s="51">
        <v>25</v>
      </c>
      <c r="H148" s="51">
        <v>4</v>
      </c>
      <c r="I148" s="51">
        <v>0.02</v>
      </c>
      <c r="J148" s="51">
        <v>0.0708</v>
      </c>
      <c r="K148" s="51">
        <v>0.4116</v>
      </c>
      <c r="L148" s="51" t="s">
        <v>212</v>
      </c>
      <c r="M148" s="51" t="s">
        <v>20</v>
      </c>
    </row>
    <row r="149" spans="1:13">
      <c r="A149" s="51" t="s">
        <v>41</v>
      </c>
      <c r="B149" s="51" t="s">
        <v>215</v>
      </c>
      <c r="C149" s="51">
        <v>25</v>
      </c>
      <c r="D149" s="51">
        <v>0.0103</v>
      </c>
      <c r="E149" s="51">
        <v>10.2935</v>
      </c>
      <c r="F149" s="51">
        <v>5</v>
      </c>
      <c r="G149" s="51">
        <v>25</v>
      </c>
      <c r="H149" s="51">
        <v>4</v>
      </c>
      <c r="I149" s="51">
        <v>0.02</v>
      </c>
      <c r="J149" s="51">
        <v>0.0708</v>
      </c>
      <c r="K149" s="51">
        <v>0.3649</v>
      </c>
      <c r="L149" s="51" t="s">
        <v>216</v>
      </c>
      <c r="M149" s="51" t="s">
        <v>16</v>
      </c>
    </row>
    <row r="150" spans="1:13">
      <c r="A150" s="51" t="s">
        <v>41</v>
      </c>
      <c r="B150" s="51" t="s">
        <v>217</v>
      </c>
      <c r="C150" s="51">
        <v>25</v>
      </c>
      <c r="D150" s="51">
        <v>0.0114</v>
      </c>
      <c r="E150" s="51">
        <v>11.361</v>
      </c>
      <c r="F150" s="51">
        <v>5</v>
      </c>
      <c r="G150" s="51">
        <v>25</v>
      </c>
      <c r="H150" s="51">
        <v>4</v>
      </c>
      <c r="I150" s="51">
        <v>0.02</v>
      </c>
      <c r="J150" s="51">
        <v>0.0708</v>
      </c>
      <c r="K150" s="51">
        <v>0.3954</v>
      </c>
      <c r="L150" s="51" t="s">
        <v>216</v>
      </c>
      <c r="M150" s="51" t="s">
        <v>18</v>
      </c>
    </row>
    <row r="151" spans="1:13">
      <c r="A151" s="51" t="s">
        <v>41</v>
      </c>
      <c r="B151" s="51" t="s">
        <v>218</v>
      </c>
      <c r="C151" s="51">
        <v>25</v>
      </c>
      <c r="D151" s="51">
        <v>0.0104</v>
      </c>
      <c r="E151" s="51">
        <v>10.4335</v>
      </c>
      <c r="F151" s="51">
        <v>5</v>
      </c>
      <c r="G151" s="51">
        <v>25</v>
      </c>
      <c r="H151" s="51">
        <v>4</v>
      </c>
      <c r="I151" s="51">
        <v>0.02</v>
      </c>
      <c r="J151" s="51">
        <v>0.0708</v>
      </c>
      <c r="K151" s="51">
        <v>0.3689</v>
      </c>
      <c r="L151" s="51" t="s">
        <v>216</v>
      </c>
      <c r="M151" s="51" t="s">
        <v>20</v>
      </c>
    </row>
    <row r="152" spans="1:13">
      <c r="A152" s="51" t="s">
        <v>13</v>
      </c>
      <c r="B152" s="51" t="s">
        <v>219</v>
      </c>
      <c r="C152" s="51">
        <v>25</v>
      </c>
      <c r="D152" s="51">
        <v>0.0098</v>
      </c>
      <c r="E152" s="51">
        <v>9.842</v>
      </c>
      <c r="F152" s="51">
        <v>5</v>
      </c>
      <c r="G152" s="51">
        <v>25</v>
      </c>
      <c r="H152" s="51">
        <v>4</v>
      </c>
      <c r="I152" s="51">
        <v>0.02</v>
      </c>
      <c r="J152" s="51">
        <v>0.0593</v>
      </c>
      <c r="K152" s="51">
        <v>0.3405</v>
      </c>
      <c r="L152" s="51" t="s">
        <v>220</v>
      </c>
      <c r="M152" s="51" t="s">
        <v>16</v>
      </c>
    </row>
    <row r="153" spans="1:13">
      <c r="A153" s="51" t="s">
        <v>13</v>
      </c>
      <c r="B153" s="51" t="s">
        <v>221</v>
      </c>
      <c r="C153" s="51">
        <v>25</v>
      </c>
      <c r="D153" s="51">
        <v>0.0122</v>
      </c>
      <c r="E153" s="51">
        <v>12.1905</v>
      </c>
      <c r="F153" s="51">
        <v>5</v>
      </c>
      <c r="G153" s="51">
        <v>25</v>
      </c>
      <c r="H153" s="51">
        <v>4</v>
      </c>
      <c r="I153" s="51">
        <v>0.02</v>
      </c>
      <c r="J153" s="51">
        <v>0.0593</v>
      </c>
      <c r="K153" s="51">
        <v>0.4076</v>
      </c>
      <c r="L153" s="51" t="s">
        <v>220</v>
      </c>
      <c r="M153" s="51" t="s">
        <v>18</v>
      </c>
    </row>
    <row r="154" spans="1:13">
      <c r="A154" s="51" t="s">
        <v>13</v>
      </c>
      <c r="B154" s="51" t="s">
        <v>222</v>
      </c>
      <c r="C154" s="51">
        <v>25</v>
      </c>
      <c r="D154" s="51">
        <v>0.0119</v>
      </c>
      <c r="E154" s="51">
        <v>11.942</v>
      </c>
      <c r="F154" s="51">
        <v>5</v>
      </c>
      <c r="G154" s="51">
        <v>25</v>
      </c>
      <c r="H154" s="51">
        <v>4</v>
      </c>
      <c r="I154" s="51">
        <v>0.02</v>
      </c>
      <c r="J154" s="51">
        <v>0.0593</v>
      </c>
      <c r="K154" s="51">
        <v>0.4005</v>
      </c>
      <c r="L154" s="51" t="s">
        <v>220</v>
      </c>
      <c r="M154" s="51" t="s">
        <v>20</v>
      </c>
    </row>
    <row r="155" spans="1:13">
      <c r="A155" s="51" t="s">
        <v>13</v>
      </c>
      <c r="B155" s="51" t="s">
        <v>223</v>
      </c>
      <c r="C155" s="51">
        <v>25</v>
      </c>
      <c r="D155" s="51">
        <v>0.0119</v>
      </c>
      <c r="E155" s="51">
        <v>11.942</v>
      </c>
      <c r="F155" s="51">
        <v>5</v>
      </c>
      <c r="G155" s="51">
        <v>25</v>
      </c>
      <c r="H155" s="51">
        <v>4</v>
      </c>
      <c r="I155" s="51">
        <v>0.02</v>
      </c>
      <c r="J155" s="51">
        <v>0.0593</v>
      </c>
      <c r="K155" s="51">
        <v>0.4005</v>
      </c>
      <c r="L155" s="51" t="s">
        <v>224</v>
      </c>
      <c r="M155" s="51" t="s">
        <v>16</v>
      </c>
    </row>
    <row r="156" spans="1:13">
      <c r="A156" s="51" t="s">
        <v>13</v>
      </c>
      <c r="B156" s="51" t="s">
        <v>225</v>
      </c>
      <c r="C156" s="51">
        <v>25</v>
      </c>
      <c r="D156" s="51">
        <v>0.0113</v>
      </c>
      <c r="E156" s="51">
        <v>11.263</v>
      </c>
      <c r="F156" s="51">
        <v>5</v>
      </c>
      <c r="G156" s="51">
        <v>25</v>
      </c>
      <c r="H156" s="51">
        <v>4</v>
      </c>
      <c r="I156" s="51">
        <v>0.02</v>
      </c>
      <c r="J156" s="51">
        <v>0.0593</v>
      </c>
      <c r="K156" s="51">
        <v>0.3811</v>
      </c>
      <c r="L156" s="51" t="s">
        <v>224</v>
      </c>
      <c r="M156" s="51" t="s">
        <v>18</v>
      </c>
    </row>
    <row r="157" spans="1:13">
      <c r="A157" s="51" t="s">
        <v>13</v>
      </c>
      <c r="B157" s="51" t="s">
        <v>226</v>
      </c>
      <c r="C157" s="51">
        <v>25</v>
      </c>
      <c r="D157" s="51">
        <v>0.012</v>
      </c>
      <c r="E157" s="51">
        <v>12.012</v>
      </c>
      <c r="F157" s="51">
        <v>5</v>
      </c>
      <c r="G157" s="51">
        <v>25</v>
      </c>
      <c r="H157" s="51">
        <v>4</v>
      </c>
      <c r="I157" s="51">
        <v>0.02</v>
      </c>
      <c r="J157" s="51">
        <v>0.0593</v>
      </c>
      <c r="K157" s="51">
        <v>0.4025</v>
      </c>
      <c r="L157" s="51" t="s">
        <v>224</v>
      </c>
      <c r="M157" s="51" t="s">
        <v>20</v>
      </c>
    </row>
    <row r="158" spans="1:13">
      <c r="A158" s="51" t="s">
        <v>13</v>
      </c>
      <c r="B158" s="51" t="s">
        <v>227</v>
      </c>
      <c r="C158" s="51">
        <v>25</v>
      </c>
      <c r="D158" s="51">
        <v>0.0121</v>
      </c>
      <c r="E158" s="51">
        <v>12.082</v>
      </c>
      <c r="F158" s="51">
        <v>5</v>
      </c>
      <c r="G158" s="51">
        <v>25</v>
      </c>
      <c r="H158" s="51">
        <v>4</v>
      </c>
      <c r="I158" s="51">
        <v>0.02</v>
      </c>
      <c r="J158" s="51">
        <v>0.0593</v>
      </c>
      <c r="K158" s="51">
        <v>0.4045</v>
      </c>
      <c r="L158" s="51" t="s">
        <v>228</v>
      </c>
      <c r="M158" s="51" t="s">
        <v>16</v>
      </c>
    </row>
    <row r="159" spans="1:13">
      <c r="A159" s="51" t="s">
        <v>13</v>
      </c>
      <c r="B159" s="51" t="s">
        <v>229</v>
      </c>
      <c r="C159" s="51">
        <v>25</v>
      </c>
      <c r="D159" s="51">
        <v>0.0135</v>
      </c>
      <c r="E159" s="51">
        <v>13.5065</v>
      </c>
      <c r="F159" s="51">
        <v>5</v>
      </c>
      <c r="G159" s="51">
        <v>25</v>
      </c>
      <c r="H159" s="51">
        <v>4</v>
      </c>
      <c r="I159" s="51">
        <v>0.02</v>
      </c>
      <c r="J159" s="51">
        <v>0.0593</v>
      </c>
      <c r="K159" s="51">
        <v>0.4452</v>
      </c>
      <c r="L159" s="51" t="s">
        <v>228</v>
      </c>
      <c r="M159" s="51" t="s">
        <v>18</v>
      </c>
    </row>
    <row r="160" spans="1:13">
      <c r="A160" s="51" t="s">
        <v>13</v>
      </c>
      <c r="B160" s="51" t="s">
        <v>230</v>
      </c>
      <c r="C160" s="51">
        <v>25</v>
      </c>
      <c r="D160" s="51">
        <v>0.0116</v>
      </c>
      <c r="E160" s="51">
        <v>11.55</v>
      </c>
      <c r="F160" s="51">
        <v>5</v>
      </c>
      <c r="G160" s="51">
        <v>25</v>
      </c>
      <c r="H160" s="51">
        <v>4</v>
      </c>
      <c r="I160" s="51">
        <v>0.02</v>
      </c>
      <c r="J160" s="51">
        <v>0.0593</v>
      </c>
      <c r="K160" s="51">
        <v>0.3893</v>
      </c>
      <c r="L160" s="51" t="s">
        <v>228</v>
      </c>
      <c r="M160" s="51" t="s">
        <v>20</v>
      </c>
    </row>
    <row r="161" spans="1:13">
      <c r="A161" s="51" t="s">
        <v>13</v>
      </c>
      <c r="B161" s="51" t="s">
        <v>231</v>
      </c>
      <c r="C161" s="51">
        <v>25</v>
      </c>
      <c r="D161" s="51">
        <v>0.012</v>
      </c>
      <c r="E161" s="51">
        <v>11.977</v>
      </c>
      <c r="F161" s="51">
        <v>5</v>
      </c>
      <c r="G161" s="51">
        <v>25</v>
      </c>
      <c r="H161" s="51">
        <v>4</v>
      </c>
      <c r="I161" s="51">
        <v>0.02</v>
      </c>
      <c r="J161" s="51">
        <v>0.0593</v>
      </c>
      <c r="K161" s="51">
        <v>0.4015</v>
      </c>
      <c r="L161" s="51" t="s">
        <v>232</v>
      </c>
      <c r="M161" s="51" t="s">
        <v>16</v>
      </c>
    </row>
    <row r="162" spans="1:13">
      <c r="A162" s="51" t="s">
        <v>13</v>
      </c>
      <c r="B162" s="51" t="s">
        <v>233</v>
      </c>
      <c r="C162" s="51">
        <v>25</v>
      </c>
      <c r="D162" s="51">
        <v>0.0131</v>
      </c>
      <c r="E162" s="51">
        <v>13.0445</v>
      </c>
      <c r="F162" s="51">
        <v>5</v>
      </c>
      <c r="G162" s="51">
        <v>25</v>
      </c>
      <c r="H162" s="51">
        <v>4</v>
      </c>
      <c r="I162" s="51">
        <v>0.02</v>
      </c>
      <c r="J162" s="51">
        <v>0.0593</v>
      </c>
      <c r="K162" s="51">
        <v>0.432</v>
      </c>
      <c r="L162" s="51" t="s">
        <v>232</v>
      </c>
      <c r="M162" s="51" t="s">
        <v>18</v>
      </c>
    </row>
    <row r="163" spans="1:13">
      <c r="A163" s="51" t="s">
        <v>13</v>
      </c>
      <c r="B163" s="51" t="s">
        <v>234</v>
      </c>
      <c r="C163" s="51">
        <v>25</v>
      </c>
      <c r="D163" s="51">
        <v>0.0131</v>
      </c>
      <c r="E163" s="51">
        <v>13.1145</v>
      </c>
      <c r="F163" s="51">
        <v>5</v>
      </c>
      <c r="G163" s="51">
        <v>25</v>
      </c>
      <c r="H163" s="51">
        <v>4</v>
      </c>
      <c r="I163" s="51">
        <v>0.02</v>
      </c>
      <c r="J163" s="51">
        <v>0.0593</v>
      </c>
      <c r="K163" s="51">
        <v>0.434</v>
      </c>
      <c r="L163" s="51" t="s">
        <v>232</v>
      </c>
      <c r="M163" s="51" t="s">
        <v>20</v>
      </c>
    </row>
    <row r="164" spans="1:13">
      <c r="A164" s="51" t="s">
        <v>13</v>
      </c>
      <c r="B164" s="51" t="s">
        <v>235</v>
      </c>
      <c r="C164" s="51">
        <v>25</v>
      </c>
      <c r="D164" s="51">
        <v>0.0116</v>
      </c>
      <c r="E164" s="51">
        <v>11.585</v>
      </c>
      <c r="F164" s="51">
        <v>5</v>
      </c>
      <c r="G164" s="51">
        <v>25</v>
      </c>
      <c r="H164" s="51">
        <v>4</v>
      </c>
      <c r="I164" s="51">
        <v>0.02</v>
      </c>
      <c r="J164" s="51">
        <v>0.0593</v>
      </c>
      <c r="K164" s="51">
        <v>0.3903</v>
      </c>
      <c r="L164" s="51" t="s">
        <v>236</v>
      </c>
      <c r="M164" s="51" t="s">
        <v>16</v>
      </c>
    </row>
    <row r="165" spans="1:13">
      <c r="A165" s="51" t="s">
        <v>13</v>
      </c>
      <c r="B165" s="51" t="s">
        <v>237</v>
      </c>
      <c r="C165" s="51">
        <v>25</v>
      </c>
      <c r="D165" s="51">
        <v>0.0113</v>
      </c>
      <c r="E165" s="51">
        <v>11.3365</v>
      </c>
      <c r="F165" s="51">
        <v>5</v>
      </c>
      <c r="G165" s="51">
        <v>25</v>
      </c>
      <c r="H165" s="51">
        <v>4</v>
      </c>
      <c r="I165" s="51">
        <v>0.02</v>
      </c>
      <c r="J165" s="51">
        <v>0.0593</v>
      </c>
      <c r="K165" s="51">
        <v>0.3832</v>
      </c>
      <c r="L165" s="51" t="s">
        <v>236</v>
      </c>
      <c r="M165" s="51" t="s">
        <v>18</v>
      </c>
    </row>
    <row r="166" spans="1:13">
      <c r="A166" s="51" t="s">
        <v>13</v>
      </c>
      <c r="B166" s="51" t="s">
        <v>238</v>
      </c>
      <c r="C166" s="51">
        <v>25</v>
      </c>
      <c r="D166" s="51">
        <v>0.0097</v>
      </c>
      <c r="E166" s="51">
        <v>9.7335</v>
      </c>
      <c r="F166" s="51">
        <v>5</v>
      </c>
      <c r="G166" s="51">
        <v>25</v>
      </c>
      <c r="H166" s="51">
        <v>4</v>
      </c>
      <c r="I166" s="51">
        <v>0.02</v>
      </c>
      <c r="J166" s="51">
        <v>0.0593</v>
      </c>
      <c r="K166" s="51">
        <v>0.3374</v>
      </c>
      <c r="L166" s="51" t="s">
        <v>236</v>
      </c>
      <c r="M166" s="51" t="s">
        <v>20</v>
      </c>
    </row>
    <row r="167" spans="1:13">
      <c r="A167" s="51" t="s">
        <v>13</v>
      </c>
      <c r="B167" s="51" t="s">
        <v>239</v>
      </c>
      <c r="C167" s="51">
        <v>25</v>
      </c>
      <c r="D167" s="51">
        <v>0.0096</v>
      </c>
      <c r="E167" s="51">
        <v>9.5935</v>
      </c>
      <c r="F167" s="51">
        <v>5</v>
      </c>
      <c r="G167" s="51">
        <v>25</v>
      </c>
      <c r="H167" s="51">
        <v>4</v>
      </c>
      <c r="I167" s="51">
        <v>0.02</v>
      </c>
      <c r="J167" s="51">
        <v>0.0593</v>
      </c>
      <c r="K167" s="51">
        <v>0.3334</v>
      </c>
      <c r="L167" s="51" t="s">
        <v>240</v>
      </c>
      <c r="M167" s="51" t="s">
        <v>16</v>
      </c>
    </row>
    <row r="168" spans="1:13">
      <c r="A168" s="51" t="s">
        <v>13</v>
      </c>
      <c r="B168" s="51" t="s">
        <v>241</v>
      </c>
      <c r="C168" s="51">
        <v>25</v>
      </c>
      <c r="D168" s="51">
        <v>0.0095</v>
      </c>
      <c r="E168" s="51">
        <v>9.485</v>
      </c>
      <c r="F168" s="51">
        <v>5</v>
      </c>
      <c r="G168" s="51">
        <v>25</v>
      </c>
      <c r="H168" s="51">
        <v>4</v>
      </c>
      <c r="I168" s="51">
        <v>0.02</v>
      </c>
      <c r="J168" s="51">
        <v>0.0593</v>
      </c>
      <c r="K168" s="51">
        <v>0.3303</v>
      </c>
      <c r="L168" s="51" t="s">
        <v>240</v>
      </c>
      <c r="M168" s="51" t="s">
        <v>18</v>
      </c>
    </row>
    <row r="169" spans="1:13">
      <c r="A169" s="51" t="s">
        <v>13</v>
      </c>
      <c r="B169" s="51" t="s">
        <v>242</v>
      </c>
      <c r="C169" s="51">
        <v>25</v>
      </c>
      <c r="D169" s="51">
        <v>0.0099</v>
      </c>
      <c r="E169" s="51">
        <v>9.877</v>
      </c>
      <c r="F169" s="51">
        <v>5</v>
      </c>
      <c r="G169" s="51">
        <v>25</v>
      </c>
      <c r="H169" s="51">
        <v>4</v>
      </c>
      <c r="I169" s="51">
        <v>0.02</v>
      </c>
      <c r="J169" s="51">
        <v>0.0593</v>
      </c>
      <c r="K169" s="51">
        <v>0.3415</v>
      </c>
      <c r="L169" s="51" t="s">
        <v>240</v>
      </c>
      <c r="M169" s="51" t="s">
        <v>20</v>
      </c>
    </row>
    <row r="170" spans="1:13">
      <c r="A170" s="51" t="s">
        <v>70</v>
      </c>
      <c r="B170" s="51" t="s">
        <v>243</v>
      </c>
      <c r="C170" s="51">
        <v>15</v>
      </c>
      <c r="D170" s="51">
        <v>0.0091</v>
      </c>
      <c r="E170" s="51">
        <v>9.0825</v>
      </c>
      <c r="F170" s="51">
        <v>5</v>
      </c>
      <c r="G170" s="51">
        <v>25</v>
      </c>
      <c r="H170" s="51">
        <v>4</v>
      </c>
      <c r="I170" s="51">
        <v>0.02</v>
      </c>
      <c r="J170" s="51">
        <v>0.0464</v>
      </c>
      <c r="K170" s="51">
        <v>0.3059</v>
      </c>
      <c r="L170" s="51" t="s">
        <v>244</v>
      </c>
      <c r="M170" s="51" t="s">
        <v>16</v>
      </c>
    </row>
    <row r="171" spans="1:13">
      <c r="A171" s="51" t="s">
        <v>70</v>
      </c>
      <c r="B171" s="51" t="s">
        <v>245</v>
      </c>
      <c r="C171" s="51">
        <v>15</v>
      </c>
      <c r="D171" s="51">
        <v>0.0089</v>
      </c>
      <c r="E171" s="51">
        <v>8.9425</v>
      </c>
      <c r="F171" s="51">
        <v>5</v>
      </c>
      <c r="G171" s="51">
        <v>25</v>
      </c>
      <c r="H171" s="51">
        <v>4</v>
      </c>
      <c r="I171" s="51">
        <v>0.02</v>
      </c>
      <c r="J171" s="51">
        <v>0.0464</v>
      </c>
      <c r="K171" s="51">
        <v>0.3019</v>
      </c>
      <c r="L171" s="51" t="s">
        <v>244</v>
      </c>
      <c r="M171" s="51" t="s">
        <v>18</v>
      </c>
    </row>
    <row r="172" spans="1:13">
      <c r="A172" s="51" t="s">
        <v>70</v>
      </c>
      <c r="B172" s="51" t="s">
        <v>246</v>
      </c>
      <c r="C172" s="51">
        <v>15</v>
      </c>
      <c r="D172" s="51">
        <v>0.0096</v>
      </c>
      <c r="E172" s="51">
        <v>9.5445</v>
      </c>
      <c r="F172" s="51">
        <v>5</v>
      </c>
      <c r="G172" s="51">
        <v>25</v>
      </c>
      <c r="H172" s="51">
        <v>4</v>
      </c>
      <c r="I172" s="51">
        <v>0.02</v>
      </c>
      <c r="J172" s="51">
        <v>0.0464</v>
      </c>
      <c r="K172" s="51">
        <v>0.3191</v>
      </c>
      <c r="L172" s="51" t="s">
        <v>244</v>
      </c>
      <c r="M172" s="51" t="s">
        <v>20</v>
      </c>
    </row>
    <row r="173" spans="1:13">
      <c r="A173" s="51" t="s">
        <v>70</v>
      </c>
      <c r="B173" s="51" t="s">
        <v>247</v>
      </c>
      <c r="C173" s="51">
        <v>15</v>
      </c>
      <c r="D173" s="51">
        <v>0.0091</v>
      </c>
      <c r="E173" s="51">
        <v>9.0475</v>
      </c>
      <c r="F173" s="51">
        <v>5</v>
      </c>
      <c r="G173" s="51">
        <v>25</v>
      </c>
      <c r="H173" s="51">
        <v>4</v>
      </c>
      <c r="I173" s="51">
        <v>0.02</v>
      </c>
      <c r="J173" s="51">
        <v>0.0464</v>
      </c>
      <c r="K173" s="51">
        <v>0.3049</v>
      </c>
      <c r="L173" s="51" t="s">
        <v>248</v>
      </c>
      <c r="M173" s="51" t="s">
        <v>16</v>
      </c>
    </row>
    <row r="174" spans="1:13">
      <c r="A174" s="51" t="s">
        <v>70</v>
      </c>
      <c r="B174" s="51" t="s">
        <v>249</v>
      </c>
      <c r="C174" s="51">
        <v>15</v>
      </c>
      <c r="D174" s="51">
        <v>0.0099</v>
      </c>
      <c r="E174" s="51">
        <v>9.9015</v>
      </c>
      <c r="F174" s="51">
        <v>5</v>
      </c>
      <c r="G174" s="51">
        <v>25</v>
      </c>
      <c r="H174" s="51">
        <v>4</v>
      </c>
      <c r="I174" s="51">
        <v>0.02</v>
      </c>
      <c r="J174" s="51">
        <v>0.0464</v>
      </c>
      <c r="K174" s="51">
        <v>0.3293</v>
      </c>
      <c r="L174" s="51" t="s">
        <v>248</v>
      </c>
      <c r="M174" s="51" t="s">
        <v>18</v>
      </c>
    </row>
    <row r="175" spans="1:13">
      <c r="A175" s="51" t="s">
        <v>70</v>
      </c>
      <c r="B175" s="51" t="s">
        <v>250</v>
      </c>
      <c r="C175" s="51">
        <v>15</v>
      </c>
      <c r="D175" s="51">
        <v>0.009</v>
      </c>
      <c r="E175" s="51">
        <v>8.9775</v>
      </c>
      <c r="F175" s="51">
        <v>5</v>
      </c>
      <c r="G175" s="51">
        <v>25</v>
      </c>
      <c r="H175" s="51">
        <v>4</v>
      </c>
      <c r="I175" s="51">
        <v>0.02</v>
      </c>
      <c r="J175" s="51">
        <v>0.0464</v>
      </c>
      <c r="K175" s="51">
        <v>0.3029</v>
      </c>
      <c r="L175" s="51" t="s">
        <v>248</v>
      </c>
      <c r="M175" s="51" t="s">
        <v>20</v>
      </c>
    </row>
    <row r="176" spans="1:13">
      <c r="A176" s="51" t="s">
        <v>70</v>
      </c>
      <c r="B176" s="51" t="s">
        <v>251</v>
      </c>
      <c r="C176" s="51">
        <v>15</v>
      </c>
      <c r="D176" s="51">
        <v>0.0094</v>
      </c>
      <c r="E176" s="51">
        <v>9.4045</v>
      </c>
      <c r="F176" s="51">
        <v>5</v>
      </c>
      <c r="G176" s="51">
        <v>25</v>
      </c>
      <c r="H176" s="51">
        <v>4</v>
      </c>
      <c r="I176" s="51">
        <v>0.02</v>
      </c>
      <c r="J176" s="51">
        <v>0.0464</v>
      </c>
      <c r="K176" s="51">
        <v>0.3151</v>
      </c>
      <c r="L176" s="51" t="s">
        <v>252</v>
      </c>
      <c r="M176" s="51" t="s">
        <v>16</v>
      </c>
    </row>
    <row r="177" spans="1:13">
      <c r="A177" s="51" t="s">
        <v>70</v>
      </c>
      <c r="B177" s="51" t="s">
        <v>253</v>
      </c>
      <c r="C177" s="51">
        <v>15</v>
      </c>
      <c r="D177" s="51">
        <v>0.0095</v>
      </c>
      <c r="E177" s="51">
        <v>9.5095</v>
      </c>
      <c r="F177" s="51">
        <v>5</v>
      </c>
      <c r="G177" s="51">
        <v>25</v>
      </c>
      <c r="H177" s="51">
        <v>4</v>
      </c>
      <c r="I177" s="51">
        <v>0.02</v>
      </c>
      <c r="J177" s="51">
        <v>0.0464</v>
      </c>
      <c r="K177" s="51">
        <v>0.3181</v>
      </c>
      <c r="L177" s="51" t="s">
        <v>252</v>
      </c>
      <c r="M177" s="51" t="s">
        <v>18</v>
      </c>
    </row>
    <row r="178" spans="1:13">
      <c r="A178" s="51" t="s">
        <v>70</v>
      </c>
      <c r="B178" s="51" t="s">
        <v>254</v>
      </c>
      <c r="C178" s="51">
        <v>15</v>
      </c>
      <c r="D178" s="51">
        <v>0.0089</v>
      </c>
      <c r="E178" s="51">
        <v>8.904</v>
      </c>
      <c r="F178" s="51">
        <v>5</v>
      </c>
      <c r="G178" s="51">
        <v>25</v>
      </c>
      <c r="H178" s="51">
        <v>4</v>
      </c>
      <c r="I178" s="51">
        <v>0.02</v>
      </c>
      <c r="J178" s="51">
        <v>0.0464</v>
      </c>
      <c r="K178" s="51">
        <v>0.3008</v>
      </c>
      <c r="L178" s="51" t="s">
        <v>252</v>
      </c>
      <c r="M178" s="51" t="s">
        <v>20</v>
      </c>
    </row>
    <row r="179" spans="1:13">
      <c r="A179" s="51" t="s">
        <v>70</v>
      </c>
      <c r="B179" s="51" t="s">
        <v>255</v>
      </c>
      <c r="C179" s="51">
        <v>15</v>
      </c>
      <c r="D179" s="51">
        <v>0.0087</v>
      </c>
      <c r="E179" s="51">
        <v>8.6555</v>
      </c>
      <c r="F179" s="51">
        <v>5</v>
      </c>
      <c r="G179" s="51">
        <v>25</v>
      </c>
      <c r="H179" s="51">
        <v>4</v>
      </c>
      <c r="I179" s="51">
        <v>0.02</v>
      </c>
      <c r="J179" s="51">
        <v>0.0464</v>
      </c>
      <c r="K179" s="51">
        <v>0.2937</v>
      </c>
      <c r="L179" s="51" t="s">
        <v>256</v>
      </c>
      <c r="M179" s="51" t="s">
        <v>16</v>
      </c>
    </row>
    <row r="180" spans="1:13">
      <c r="A180" s="51" t="s">
        <v>70</v>
      </c>
      <c r="B180" s="51" t="s">
        <v>257</v>
      </c>
      <c r="C180" s="51">
        <v>15</v>
      </c>
      <c r="D180" s="51">
        <v>0.0093</v>
      </c>
      <c r="E180" s="51">
        <v>9.331</v>
      </c>
      <c r="F180" s="51">
        <v>5</v>
      </c>
      <c r="G180" s="51">
        <v>25</v>
      </c>
      <c r="H180" s="51">
        <v>4</v>
      </c>
      <c r="I180" s="51">
        <v>0.02</v>
      </c>
      <c r="J180" s="51">
        <v>0.0464</v>
      </c>
      <c r="K180" s="51">
        <v>0.313</v>
      </c>
      <c r="L180" s="51" t="s">
        <v>256</v>
      </c>
      <c r="M180" s="51" t="s">
        <v>18</v>
      </c>
    </row>
    <row r="181" spans="1:13">
      <c r="A181" s="51" t="s">
        <v>70</v>
      </c>
      <c r="B181" s="51" t="s">
        <v>258</v>
      </c>
      <c r="C181" s="51">
        <v>15</v>
      </c>
      <c r="D181" s="51">
        <v>0.0092</v>
      </c>
      <c r="E181" s="51">
        <v>9.226</v>
      </c>
      <c r="F181" s="51">
        <v>5</v>
      </c>
      <c r="G181" s="51">
        <v>25</v>
      </c>
      <c r="H181" s="51">
        <v>4</v>
      </c>
      <c r="I181" s="51">
        <v>0.02</v>
      </c>
      <c r="J181" s="51">
        <v>0.0464</v>
      </c>
      <c r="K181" s="51">
        <v>0.31</v>
      </c>
      <c r="L181" s="51" t="s">
        <v>256</v>
      </c>
      <c r="M181" s="51" t="s">
        <v>20</v>
      </c>
    </row>
    <row r="182" spans="1:13">
      <c r="A182" s="51" t="s">
        <v>70</v>
      </c>
      <c r="B182" s="51" t="s">
        <v>259</v>
      </c>
      <c r="C182" s="51">
        <v>15</v>
      </c>
      <c r="D182" s="51">
        <v>0.0089</v>
      </c>
      <c r="E182" s="51">
        <v>8.904</v>
      </c>
      <c r="F182" s="51">
        <v>5</v>
      </c>
      <c r="G182" s="51">
        <v>25</v>
      </c>
      <c r="H182" s="51">
        <v>4</v>
      </c>
      <c r="I182" s="51">
        <v>0.02</v>
      </c>
      <c r="J182" s="51">
        <v>0.0464</v>
      </c>
      <c r="K182" s="51">
        <v>0.3008</v>
      </c>
      <c r="L182" s="51" t="s">
        <v>260</v>
      </c>
      <c r="M182" s="51" t="s">
        <v>16</v>
      </c>
    </row>
    <row r="183" spans="1:13">
      <c r="A183" s="51" t="s">
        <v>70</v>
      </c>
      <c r="B183" s="51" t="s">
        <v>261</v>
      </c>
      <c r="C183" s="51">
        <v>15</v>
      </c>
      <c r="D183" s="51">
        <v>0.0088</v>
      </c>
      <c r="E183" s="51">
        <v>8.834</v>
      </c>
      <c r="F183" s="51">
        <v>5</v>
      </c>
      <c r="G183" s="51">
        <v>25</v>
      </c>
      <c r="H183" s="51">
        <v>4</v>
      </c>
      <c r="I183" s="51">
        <v>0.02</v>
      </c>
      <c r="J183" s="51">
        <v>0.0464</v>
      </c>
      <c r="K183" s="51">
        <v>0.2988</v>
      </c>
      <c r="L183" s="51" t="s">
        <v>260</v>
      </c>
      <c r="M183" s="51" t="s">
        <v>18</v>
      </c>
    </row>
    <row r="184" spans="1:13">
      <c r="A184" s="51" t="s">
        <v>70</v>
      </c>
      <c r="B184" s="51" t="s">
        <v>262</v>
      </c>
      <c r="C184" s="51">
        <v>15</v>
      </c>
      <c r="D184" s="51">
        <v>0.0091</v>
      </c>
      <c r="E184" s="51">
        <v>9.0825</v>
      </c>
      <c r="F184" s="51">
        <v>5</v>
      </c>
      <c r="G184" s="51">
        <v>25</v>
      </c>
      <c r="H184" s="51">
        <v>4</v>
      </c>
      <c r="I184" s="51">
        <v>0.02</v>
      </c>
      <c r="J184" s="51">
        <v>0.0464</v>
      </c>
      <c r="K184" s="51">
        <v>0.3059</v>
      </c>
      <c r="L184" s="51" t="s">
        <v>260</v>
      </c>
      <c r="M184" s="51" t="s">
        <v>20</v>
      </c>
    </row>
    <row r="185" spans="1:13">
      <c r="A185" s="51" t="s">
        <v>70</v>
      </c>
      <c r="B185" s="51" t="s">
        <v>263</v>
      </c>
      <c r="C185" s="51">
        <v>15</v>
      </c>
      <c r="D185" s="51">
        <v>0.0095</v>
      </c>
      <c r="E185" s="51">
        <v>9.4745</v>
      </c>
      <c r="F185" s="51">
        <v>5</v>
      </c>
      <c r="G185" s="51">
        <v>25</v>
      </c>
      <c r="H185" s="51">
        <v>4</v>
      </c>
      <c r="I185" s="51">
        <v>0.02</v>
      </c>
      <c r="J185" s="51">
        <v>0.0464</v>
      </c>
      <c r="K185" s="51">
        <v>0.3171</v>
      </c>
      <c r="L185" s="51" t="s">
        <v>264</v>
      </c>
      <c r="M185" s="51" t="s">
        <v>16</v>
      </c>
    </row>
    <row r="186" spans="1:13">
      <c r="A186" s="51" t="s">
        <v>70</v>
      </c>
      <c r="B186" s="51" t="s">
        <v>265</v>
      </c>
      <c r="C186" s="51">
        <v>15</v>
      </c>
      <c r="D186" s="51">
        <v>0.0093</v>
      </c>
      <c r="E186" s="51">
        <v>9.331</v>
      </c>
      <c r="F186" s="51">
        <v>5</v>
      </c>
      <c r="G186" s="51">
        <v>25</v>
      </c>
      <c r="H186" s="51">
        <v>4</v>
      </c>
      <c r="I186" s="51">
        <v>0.02</v>
      </c>
      <c r="J186" s="51">
        <v>0.0464</v>
      </c>
      <c r="K186" s="51">
        <v>0.313</v>
      </c>
      <c r="L186" s="51" t="s">
        <v>264</v>
      </c>
      <c r="M186" s="51" t="s">
        <v>18</v>
      </c>
    </row>
    <row r="187" spans="1:13">
      <c r="A187" s="51" t="s">
        <v>70</v>
      </c>
      <c r="B187" s="51" t="s">
        <v>266</v>
      </c>
      <c r="C187" s="51">
        <v>15</v>
      </c>
      <c r="D187" s="51">
        <v>0.0099</v>
      </c>
      <c r="E187" s="51">
        <v>9.8665</v>
      </c>
      <c r="F187" s="51">
        <v>5</v>
      </c>
      <c r="G187" s="51">
        <v>25</v>
      </c>
      <c r="H187" s="51">
        <v>4</v>
      </c>
      <c r="I187" s="51">
        <v>0.02</v>
      </c>
      <c r="J187" s="51">
        <v>0.0464</v>
      </c>
      <c r="K187" s="51">
        <v>0.3283</v>
      </c>
      <c r="L187" s="51" t="s">
        <v>264</v>
      </c>
      <c r="M187" s="51" t="s">
        <v>20</v>
      </c>
    </row>
    <row r="188" spans="1:13">
      <c r="A188" s="51" t="s">
        <v>41</v>
      </c>
      <c r="B188" s="51" t="s">
        <v>267</v>
      </c>
      <c r="C188" s="51">
        <v>15</v>
      </c>
      <c r="D188" s="51">
        <v>0.0109</v>
      </c>
      <c r="E188" s="51">
        <v>10.8605</v>
      </c>
      <c r="F188" s="51">
        <v>5</v>
      </c>
      <c r="G188" s="51">
        <v>25</v>
      </c>
      <c r="H188" s="51">
        <v>4</v>
      </c>
      <c r="I188" s="51">
        <v>0.02</v>
      </c>
      <c r="J188" s="51">
        <v>0.0383</v>
      </c>
      <c r="K188" s="51">
        <v>0.3486</v>
      </c>
      <c r="L188" s="51" t="s">
        <v>268</v>
      </c>
      <c r="M188" s="51" t="s">
        <v>16</v>
      </c>
    </row>
    <row r="189" spans="1:13">
      <c r="A189" s="51" t="s">
        <v>41</v>
      </c>
      <c r="B189" s="51" t="s">
        <v>269</v>
      </c>
      <c r="C189" s="51">
        <v>15</v>
      </c>
      <c r="D189" s="51">
        <v>0.0111</v>
      </c>
      <c r="E189" s="51">
        <v>11.109</v>
      </c>
      <c r="F189" s="51">
        <v>5</v>
      </c>
      <c r="G189" s="51">
        <v>25</v>
      </c>
      <c r="H189" s="51">
        <v>4</v>
      </c>
      <c r="I189" s="51">
        <v>0.02</v>
      </c>
      <c r="J189" s="51">
        <v>0.0383</v>
      </c>
      <c r="K189" s="51">
        <v>0.3557</v>
      </c>
      <c r="L189" s="51" t="s">
        <v>268</v>
      </c>
      <c r="M189" s="51" t="s">
        <v>18</v>
      </c>
    </row>
    <row r="190" spans="1:13">
      <c r="A190" s="51" t="s">
        <v>41</v>
      </c>
      <c r="B190" s="51" t="s">
        <v>270</v>
      </c>
      <c r="C190" s="51">
        <v>15</v>
      </c>
      <c r="D190" s="51">
        <v>0.0114</v>
      </c>
      <c r="E190" s="51">
        <v>11.396</v>
      </c>
      <c r="F190" s="51">
        <v>5</v>
      </c>
      <c r="G190" s="51">
        <v>25</v>
      </c>
      <c r="H190" s="51">
        <v>4</v>
      </c>
      <c r="I190" s="51">
        <v>0.02</v>
      </c>
      <c r="J190" s="51">
        <v>0.0383</v>
      </c>
      <c r="K190" s="51">
        <v>0.3639</v>
      </c>
      <c r="L190" s="51" t="s">
        <v>268</v>
      </c>
      <c r="M190" s="51" t="s">
        <v>20</v>
      </c>
    </row>
    <row r="191" spans="1:13">
      <c r="A191" s="51" t="s">
        <v>41</v>
      </c>
      <c r="B191" s="51" t="s">
        <v>271</v>
      </c>
      <c r="C191" s="51">
        <v>15</v>
      </c>
      <c r="D191" s="51">
        <v>0.0106</v>
      </c>
      <c r="E191" s="51">
        <v>10.577</v>
      </c>
      <c r="F191" s="51">
        <v>5</v>
      </c>
      <c r="G191" s="51">
        <v>25</v>
      </c>
      <c r="H191" s="51">
        <v>4</v>
      </c>
      <c r="I191" s="51">
        <v>0.02</v>
      </c>
      <c r="J191" s="51">
        <v>0.0383</v>
      </c>
      <c r="K191" s="51">
        <v>0.3405</v>
      </c>
      <c r="L191" s="51" t="s">
        <v>272</v>
      </c>
      <c r="M191" s="51" t="s">
        <v>16</v>
      </c>
    </row>
    <row r="192" spans="1:13">
      <c r="A192" s="51" t="s">
        <v>41</v>
      </c>
      <c r="B192" s="51" t="s">
        <v>273</v>
      </c>
      <c r="C192" s="51">
        <v>15</v>
      </c>
      <c r="D192" s="51">
        <v>0.011</v>
      </c>
      <c r="E192" s="51">
        <v>11.004</v>
      </c>
      <c r="F192" s="51">
        <v>5</v>
      </c>
      <c r="G192" s="51">
        <v>25</v>
      </c>
      <c r="H192" s="51">
        <v>4</v>
      </c>
      <c r="I192" s="51">
        <v>0.02</v>
      </c>
      <c r="J192" s="51">
        <v>0.0383</v>
      </c>
      <c r="K192" s="51">
        <v>0.3527</v>
      </c>
      <c r="L192" s="51" t="s">
        <v>272</v>
      </c>
      <c r="M192" s="51" t="s">
        <v>18</v>
      </c>
    </row>
    <row r="193" spans="1:13">
      <c r="A193" s="51" t="s">
        <v>41</v>
      </c>
      <c r="B193" s="51" t="s">
        <v>274</v>
      </c>
      <c r="C193" s="51">
        <v>15</v>
      </c>
      <c r="D193" s="51">
        <v>0.0116</v>
      </c>
      <c r="E193" s="51">
        <v>11.6095</v>
      </c>
      <c r="F193" s="51">
        <v>5</v>
      </c>
      <c r="G193" s="51">
        <v>25</v>
      </c>
      <c r="H193" s="51">
        <v>4</v>
      </c>
      <c r="I193" s="51">
        <v>0.02</v>
      </c>
      <c r="J193" s="51">
        <v>0.0383</v>
      </c>
      <c r="K193" s="51">
        <v>0.37</v>
      </c>
      <c r="L193" s="51" t="s">
        <v>272</v>
      </c>
      <c r="M193" s="51" t="s">
        <v>20</v>
      </c>
    </row>
    <row r="194" spans="1:13">
      <c r="A194" s="51" t="s">
        <v>41</v>
      </c>
      <c r="B194" s="51" t="s">
        <v>275</v>
      </c>
      <c r="C194" s="51">
        <v>15</v>
      </c>
      <c r="D194" s="51">
        <v>0.0111</v>
      </c>
      <c r="E194" s="51">
        <v>11.074</v>
      </c>
      <c r="F194" s="51">
        <v>5</v>
      </c>
      <c r="G194" s="51">
        <v>25</v>
      </c>
      <c r="H194" s="51">
        <v>4</v>
      </c>
      <c r="I194" s="51">
        <v>0.02</v>
      </c>
      <c r="J194" s="51">
        <v>0.0383</v>
      </c>
      <c r="K194" s="51">
        <v>0.3547</v>
      </c>
      <c r="L194" s="51" t="s">
        <v>276</v>
      </c>
      <c r="M194" s="51" t="s">
        <v>16</v>
      </c>
    </row>
    <row r="195" spans="1:13">
      <c r="A195" s="51" t="s">
        <v>41</v>
      </c>
      <c r="B195" s="51" t="s">
        <v>277</v>
      </c>
      <c r="C195" s="51">
        <v>15</v>
      </c>
      <c r="D195" s="51">
        <v>0.0081</v>
      </c>
      <c r="E195" s="51">
        <v>8.05</v>
      </c>
      <c r="F195" s="51">
        <v>5</v>
      </c>
      <c r="G195" s="51">
        <v>25</v>
      </c>
      <c r="H195" s="51">
        <v>4</v>
      </c>
      <c r="I195" s="51">
        <v>0.02</v>
      </c>
      <c r="J195" s="51">
        <v>0.0383</v>
      </c>
      <c r="K195" s="51">
        <v>0.2683</v>
      </c>
      <c r="L195" s="51" t="s">
        <v>276</v>
      </c>
      <c r="M195" s="51" t="s">
        <v>18</v>
      </c>
    </row>
    <row r="196" spans="1:13">
      <c r="A196" s="51" t="s">
        <v>41</v>
      </c>
      <c r="B196" s="51" t="s">
        <v>278</v>
      </c>
      <c r="C196" s="51">
        <v>15</v>
      </c>
      <c r="D196" s="51">
        <v>0.0099</v>
      </c>
      <c r="E196" s="51">
        <v>9.8665</v>
      </c>
      <c r="F196" s="51">
        <v>5</v>
      </c>
      <c r="G196" s="51">
        <v>25</v>
      </c>
      <c r="H196" s="51">
        <v>4</v>
      </c>
      <c r="I196" s="51">
        <v>0.02</v>
      </c>
      <c r="J196" s="51">
        <v>0.0383</v>
      </c>
      <c r="K196" s="51">
        <v>0.3202</v>
      </c>
      <c r="L196" s="51" t="s">
        <v>276</v>
      </c>
      <c r="M196" s="51" t="s">
        <v>20</v>
      </c>
    </row>
    <row r="197" spans="1:13">
      <c r="A197" s="51" t="s">
        <v>41</v>
      </c>
      <c r="B197" s="51" t="s">
        <v>279</v>
      </c>
      <c r="C197" s="51">
        <v>15</v>
      </c>
      <c r="D197" s="51">
        <v>0.0119</v>
      </c>
      <c r="E197" s="51">
        <v>11.928</v>
      </c>
      <c r="F197" s="51">
        <v>5</v>
      </c>
      <c r="G197" s="51">
        <v>25</v>
      </c>
      <c r="H197" s="51">
        <v>4</v>
      </c>
      <c r="I197" s="51">
        <v>0.02</v>
      </c>
      <c r="J197" s="51">
        <v>0.0383</v>
      </c>
      <c r="K197" s="51">
        <v>0.3791</v>
      </c>
      <c r="L197" s="51" t="s">
        <v>280</v>
      </c>
      <c r="M197" s="51" t="s">
        <v>16</v>
      </c>
    </row>
    <row r="198" spans="1:13">
      <c r="A198" s="51" t="s">
        <v>41</v>
      </c>
      <c r="B198" s="51" t="s">
        <v>281</v>
      </c>
      <c r="C198" s="51">
        <v>15</v>
      </c>
      <c r="D198" s="51">
        <v>0.0115</v>
      </c>
      <c r="E198" s="51">
        <v>11.466</v>
      </c>
      <c r="F198" s="51">
        <v>5</v>
      </c>
      <c r="G198" s="51">
        <v>25</v>
      </c>
      <c r="H198" s="51">
        <v>4</v>
      </c>
      <c r="I198" s="51">
        <v>0.02</v>
      </c>
      <c r="J198" s="51">
        <v>0.0383</v>
      </c>
      <c r="K198" s="51">
        <v>0.3659</v>
      </c>
      <c r="L198" s="51" t="s">
        <v>280</v>
      </c>
      <c r="M198" s="51" t="s">
        <v>18</v>
      </c>
    </row>
    <row r="199" spans="1:13">
      <c r="A199" s="51" t="s">
        <v>41</v>
      </c>
      <c r="B199" s="51" t="s">
        <v>282</v>
      </c>
      <c r="C199" s="51">
        <v>15</v>
      </c>
      <c r="D199" s="51">
        <v>0.0121</v>
      </c>
      <c r="E199" s="51">
        <v>12.0715</v>
      </c>
      <c r="F199" s="51">
        <v>5</v>
      </c>
      <c r="G199" s="51">
        <v>25</v>
      </c>
      <c r="H199" s="51">
        <v>4</v>
      </c>
      <c r="I199" s="51">
        <v>0.02</v>
      </c>
      <c r="J199" s="51">
        <v>0.0383</v>
      </c>
      <c r="K199" s="51">
        <v>0.3832</v>
      </c>
      <c r="L199" s="51" t="s">
        <v>280</v>
      </c>
      <c r="M199" s="51" t="s">
        <v>20</v>
      </c>
    </row>
    <row r="200" spans="1:13">
      <c r="A200" s="51" t="s">
        <v>41</v>
      </c>
      <c r="B200" s="51" t="s">
        <v>283</v>
      </c>
      <c r="C200" s="51">
        <v>15</v>
      </c>
      <c r="D200" s="51">
        <v>0.0105</v>
      </c>
      <c r="E200" s="51">
        <v>10.507</v>
      </c>
      <c r="F200" s="51">
        <v>5</v>
      </c>
      <c r="G200" s="51">
        <v>25</v>
      </c>
      <c r="H200" s="51">
        <v>4</v>
      </c>
      <c r="I200" s="51">
        <v>0.02</v>
      </c>
      <c r="J200" s="51">
        <v>0.0383</v>
      </c>
      <c r="K200" s="51">
        <v>0.3385</v>
      </c>
      <c r="L200" s="51" t="s">
        <v>284</v>
      </c>
      <c r="M200" s="51" t="s">
        <v>16</v>
      </c>
    </row>
    <row r="201" spans="1:13">
      <c r="A201" s="51" t="s">
        <v>41</v>
      </c>
      <c r="B201" s="51" t="s">
        <v>285</v>
      </c>
      <c r="C201" s="51">
        <v>15</v>
      </c>
      <c r="D201" s="51">
        <v>0.011</v>
      </c>
      <c r="E201" s="51">
        <v>11.004</v>
      </c>
      <c r="F201" s="51">
        <v>5</v>
      </c>
      <c r="G201" s="51">
        <v>25</v>
      </c>
      <c r="H201" s="51">
        <v>4</v>
      </c>
      <c r="I201" s="51">
        <v>0.02</v>
      </c>
      <c r="J201" s="51">
        <v>0.0383</v>
      </c>
      <c r="K201" s="51">
        <v>0.3527</v>
      </c>
      <c r="L201" s="51" t="s">
        <v>284</v>
      </c>
      <c r="M201" s="51" t="s">
        <v>18</v>
      </c>
    </row>
    <row r="202" spans="1:13">
      <c r="A202" s="51" t="s">
        <v>41</v>
      </c>
      <c r="B202" s="51" t="s">
        <v>286</v>
      </c>
      <c r="C202" s="51">
        <v>15</v>
      </c>
      <c r="D202" s="51">
        <v>0.0123</v>
      </c>
      <c r="E202" s="51">
        <v>12.25</v>
      </c>
      <c r="F202" s="51">
        <v>5</v>
      </c>
      <c r="G202" s="51">
        <v>25</v>
      </c>
      <c r="H202" s="51">
        <v>4</v>
      </c>
      <c r="I202" s="51">
        <v>0.02</v>
      </c>
      <c r="J202" s="51">
        <v>0.0383</v>
      </c>
      <c r="K202" s="51">
        <v>0.3883</v>
      </c>
      <c r="L202" s="51" t="s">
        <v>284</v>
      </c>
      <c r="M202" s="51" t="s">
        <v>20</v>
      </c>
    </row>
    <row r="203" spans="1:13">
      <c r="A203" s="51" t="s">
        <v>41</v>
      </c>
      <c r="B203" s="51" t="s">
        <v>287</v>
      </c>
      <c r="C203" s="51">
        <v>15</v>
      </c>
      <c r="D203" s="51">
        <v>0.0124</v>
      </c>
      <c r="E203" s="51">
        <v>12.39</v>
      </c>
      <c r="F203" s="51">
        <v>5</v>
      </c>
      <c r="G203" s="51">
        <v>25</v>
      </c>
      <c r="H203" s="51">
        <v>4</v>
      </c>
      <c r="I203" s="51">
        <v>0.02</v>
      </c>
      <c r="J203" s="51">
        <v>0.0383</v>
      </c>
      <c r="K203" s="51">
        <v>0.3923</v>
      </c>
      <c r="L203" s="51" t="s">
        <v>288</v>
      </c>
      <c r="M203" s="51" t="s">
        <v>16</v>
      </c>
    </row>
    <row r="204" spans="1:13">
      <c r="A204" s="51" t="s">
        <v>41</v>
      </c>
      <c r="B204" s="51" t="s">
        <v>289</v>
      </c>
      <c r="C204" s="51">
        <v>15</v>
      </c>
      <c r="D204" s="51">
        <v>0.012</v>
      </c>
      <c r="E204" s="51">
        <v>12.0365</v>
      </c>
      <c r="F204" s="51">
        <v>5</v>
      </c>
      <c r="G204" s="51">
        <v>25</v>
      </c>
      <c r="H204" s="51">
        <v>4</v>
      </c>
      <c r="I204" s="51">
        <v>0.02</v>
      </c>
      <c r="J204" s="51">
        <v>0.0383</v>
      </c>
      <c r="K204" s="51">
        <v>0.3822</v>
      </c>
      <c r="L204" s="51" t="s">
        <v>288</v>
      </c>
      <c r="M204" s="51" t="s">
        <v>18</v>
      </c>
    </row>
    <row r="205" spans="1:13">
      <c r="A205" s="51" t="s">
        <v>41</v>
      </c>
      <c r="B205" s="51" t="s">
        <v>290</v>
      </c>
      <c r="C205" s="51">
        <v>15</v>
      </c>
      <c r="D205" s="51">
        <v>0.0122</v>
      </c>
      <c r="E205" s="51">
        <v>12.1415</v>
      </c>
      <c r="F205" s="51">
        <v>5</v>
      </c>
      <c r="G205" s="51">
        <v>25</v>
      </c>
      <c r="H205" s="51">
        <v>4</v>
      </c>
      <c r="I205" s="51">
        <v>0.02</v>
      </c>
      <c r="J205" s="51">
        <v>0.0383</v>
      </c>
      <c r="K205" s="51">
        <v>0.3852</v>
      </c>
      <c r="L205" s="51" t="s">
        <v>288</v>
      </c>
      <c r="M205" s="51" t="s">
        <v>20</v>
      </c>
    </row>
    <row r="206" spans="1:13">
      <c r="A206" s="51" t="s">
        <v>13</v>
      </c>
      <c r="B206" s="51" t="s">
        <v>291</v>
      </c>
      <c r="C206" s="51">
        <v>15</v>
      </c>
      <c r="D206" s="51">
        <v>0.0103</v>
      </c>
      <c r="E206" s="51">
        <v>10.29</v>
      </c>
      <c r="F206" s="51">
        <v>5</v>
      </c>
      <c r="G206" s="51">
        <v>25</v>
      </c>
      <c r="H206" s="51">
        <v>4</v>
      </c>
      <c r="I206" s="51">
        <v>0.02</v>
      </c>
      <c r="J206" s="51">
        <v>0.0251</v>
      </c>
      <c r="K206" s="51">
        <v>0.3191</v>
      </c>
      <c r="L206" s="51" t="s">
        <v>292</v>
      </c>
      <c r="M206" s="51" t="s">
        <v>16</v>
      </c>
    </row>
    <row r="207" spans="1:13">
      <c r="A207" s="51" t="s">
        <v>13</v>
      </c>
      <c r="B207" s="51" t="s">
        <v>293</v>
      </c>
      <c r="C207" s="51">
        <v>15</v>
      </c>
      <c r="D207" s="51">
        <v>0.112</v>
      </c>
      <c r="E207" s="51">
        <v>11.144</v>
      </c>
      <c r="F207" s="51">
        <v>5</v>
      </c>
      <c r="G207" s="51">
        <v>25</v>
      </c>
      <c r="H207" s="51">
        <v>4</v>
      </c>
      <c r="I207" s="51">
        <v>0.02</v>
      </c>
      <c r="J207" s="51">
        <v>0.0251</v>
      </c>
      <c r="K207" s="51">
        <v>0.3435</v>
      </c>
      <c r="L207" s="51" t="s">
        <v>292</v>
      </c>
      <c r="M207" s="51" t="s">
        <v>18</v>
      </c>
    </row>
    <row r="208" spans="1:13">
      <c r="A208" s="51" t="s">
        <v>13</v>
      </c>
      <c r="B208" s="51" t="s">
        <v>294</v>
      </c>
      <c r="C208" s="51">
        <v>15</v>
      </c>
      <c r="D208" s="51">
        <v>0.011</v>
      </c>
      <c r="E208" s="51">
        <v>11.004</v>
      </c>
      <c r="F208" s="51">
        <v>5</v>
      </c>
      <c r="G208" s="51">
        <v>25</v>
      </c>
      <c r="H208" s="51">
        <v>4</v>
      </c>
      <c r="I208" s="51">
        <v>0.02</v>
      </c>
      <c r="J208" s="51">
        <v>0.0251</v>
      </c>
      <c r="K208" s="51">
        <v>0.3395</v>
      </c>
      <c r="L208" s="51" t="s">
        <v>292</v>
      </c>
      <c r="M208" s="51" t="s">
        <v>20</v>
      </c>
    </row>
    <row r="209" spans="1:13">
      <c r="A209" s="51" t="s">
        <v>13</v>
      </c>
      <c r="B209" s="51" t="s">
        <v>295</v>
      </c>
      <c r="C209" s="51">
        <v>15</v>
      </c>
      <c r="D209" s="51">
        <v>0.0118</v>
      </c>
      <c r="E209" s="51">
        <v>11.8195</v>
      </c>
      <c r="F209" s="51">
        <v>5</v>
      </c>
      <c r="G209" s="51">
        <v>25</v>
      </c>
      <c r="H209" s="51">
        <v>4</v>
      </c>
      <c r="I209" s="51">
        <v>0.02</v>
      </c>
      <c r="J209" s="51">
        <v>0.0251</v>
      </c>
      <c r="K209" s="51">
        <v>0.3628</v>
      </c>
      <c r="L209" s="51" t="s">
        <v>296</v>
      </c>
      <c r="M209" s="51" t="s">
        <v>16</v>
      </c>
    </row>
    <row r="210" spans="1:13">
      <c r="A210" s="51" t="s">
        <v>13</v>
      </c>
      <c r="B210" s="51" t="s">
        <v>297</v>
      </c>
      <c r="C210" s="51">
        <v>15</v>
      </c>
      <c r="D210" s="51">
        <v>0.0112</v>
      </c>
      <c r="E210" s="51">
        <v>11.1825</v>
      </c>
      <c r="F210" s="51">
        <v>5</v>
      </c>
      <c r="G210" s="51">
        <v>25</v>
      </c>
      <c r="H210" s="51">
        <v>4</v>
      </c>
      <c r="I210" s="51">
        <v>0.02</v>
      </c>
      <c r="J210" s="51">
        <v>0.0251</v>
      </c>
      <c r="K210" s="51">
        <v>0.3446</v>
      </c>
      <c r="L210" s="51" t="s">
        <v>296</v>
      </c>
      <c r="M210" s="51" t="s">
        <v>18</v>
      </c>
    </row>
    <row r="211" spans="1:13">
      <c r="A211" s="51" t="s">
        <v>13</v>
      </c>
      <c r="B211" s="51" t="s">
        <v>298</v>
      </c>
      <c r="C211" s="51">
        <v>15</v>
      </c>
      <c r="D211" s="51">
        <v>0.0114</v>
      </c>
      <c r="E211" s="51">
        <v>11.3925</v>
      </c>
      <c r="F211" s="51">
        <v>5</v>
      </c>
      <c r="G211" s="51">
        <v>25</v>
      </c>
      <c r="H211" s="51">
        <v>4</v>
      </c>
      <c r="I211" s="51">
        <v>0.02</v>
      </c>
      <c r="J211" s="51">
        <v>0.0251</v>
      </c>
      <c r="K211" s="51">
        <v>0.3506</v>
      </c>
      <c r="L211" s="51" t="s">
        <v>296</v>
      </c>
      <c r="M211" s="51" t="s">
        <v>20</v>
      </c>
    </row>
    <row r="212" spans="1:13">
      <c r="A212" s="51" t="s">
        <v>13</v>
      </c>
      <c r="B212" s="51" t="s">
        <v>299</v>
      </c>
      <c r="C212" s="51">
        <v>15</v>
      </c>
      <c r="D212" s="51">
        <v>0.0108</v>
      </c>
      <c r="E212" s="51">
        <v>10.7555</v>
      </c>
      <c r="F212" s="51">
        <v>5</v>
      </c>
      <c r="G212" s="51">
        <v>25</v>
      </c>
      <c r="H212" s="51">
        <v>4</v>
      </c>
      <c r="I212" s="51">
        <v>0.02</v>
      </c>
      <c r="J212" s="51">
        <v>0.0251</v>
      </c>
      <c r="K212" s="51">
        <v>0.3324</v>
      </c>
      <c r="L212" s="51" t="s">
        <v>300</v>
      </c>
      <c r="M212" s="51" t="s">
        <v>16</v>
      </c>
    </row>
    <row r="213" spans="1:13">
      <c r="A213" s="51" t="s">
        <v>13</v>
      </c>
      <c r="B213" s="51" t="s">
        <v>301</v>
      </c>
      <c r="C213" s="51">
        <v>15</v>
      </c>
      <c r="D213" s="51">
        <v>0.0112</v>
      </c>
      <c r="E213" s="51">
        <v>11.1825</v>
      </c>
      <c r="F213" s="51">
        <v>5</v>
      </c>
      <c r="G213" s="51">
        <v>25</v>
      </c>
      <c r="H213" s="51">
        <v>4</v>
      </c>
      <c r="I213" s="51">
        <v>0.02</v>
      </c>
      <c r="J213" s="51">
        <v>0.0251</v>
      </c>
      <c r="K213" s="51">
        <v>0.3446</v>
      </c>
      <c r="L213" s="51" t="s">
        <v>300</v>
      </c>
      <c r="M213" s="51" t="s">
        <v>18</v>
      </c>
    </row>
    <row r="214" spans="1:13">
      <c r="A214" s="51" t="s">
        <v>13</v>
      </c>
      <c r="B214" s="51" t="s">
        <v>302</v>
      </c>
      <c r="C214" s="51">
        <v>15</v>
      </c>
      <c r="D214" s="51">
        <v>0.0103</v>
      </c>
      <c r="E214" s="51">
        <v>10.3285</v>
      </c>
      <c r="F214" s="51">
        <v>5</v>
      </c>
      <c r="G214" s="51">
        <v>25</v>
      </c>
      <c r="H214" s="51">
        <v>4</v>
      </c>
      <c r="I214" s="51">
        <v>0.02</v>
      </c>
      <c r="J214" s="51">
        <v>0.0251</v>
      </c>
      <c r="K214" s="51">
        <v>0.3202</v>
      </c>
      <c r="L214" s="51" t="s">
        <v>300</v>
      </c>
      <c r="M214" s="51" t="s">
        <v>20</v>
      </c>
    </row>
    <row r="215" spans="1:13">
      <c r="A215" s="51" t="s">
        <v>13</v>
      </c>
      <c r="B215" s="51" t="s">
        <v>303</v>
      </c>
      <c r="C215" s="51">
        <v>15</v>
      </c>
      <c r="D215" s="51">
        <v>0.0116</v>
      </c>
      <c r="E215" s="51">
        <v>11.606</v>
      </c>
      <c r="F215" s="51">
        <v>5</v>
      </c>
      <c r="G215" s="51">
        <v>25</v>
      </c>
      <c r="H215" s="51">
        <v>4</v>
      </c>
      <c r="I215" s="51">
        <v>0.02</v>
      </c>
      <c r="J215" s="51">
        <v>0.0251</v>
      </c>
      <c r="K215" s="51">
        <v>0.3567</v>
      </c>
      <c r="L215" s="51" t="s">
        <v>304</v>
      </c>
      <c r="M215" s="51" t="s">
        <v>16</v>
      </c>
    </row>
    <row r="216" spans="1:13">
      <c r="A216" s="51" t="s">
        <v>13</v>
      </c>
      <c r="B216" s="51" t="s">
        <v>305</v>
      </c>
      <c r="C216" s="51">
        <v>15</v>
      </c>
      <c r="D216" s="51">
        <v>0.0117</v>
      </c>
      <c r="E216" s="51">
        <v>11.7145</v>
      </c>
      <c r="F216" s="51">
        <v>5</v>
      </c>
      <c r="G216" s="51">
        <v>25</v>
      </c>
      <c r="H216" s="51">
        <v>4</v>
      </c>
      <c r="I216" s="51">
        <v>0.02</v>
      </c>
      <c r="J216" s="51">
        <v>0.0251</v>
      </c>
      <c r="K216" s="51">
        <v>0.3598</v>
      </c>
      <c r="L216" s="51" t="s">
        <v>304</v>
      </c>
      <c r="M216" s="51" t="s">
        <v>18</v>
      </c>
    </row>
    <row r="217" spans="1:13">
      <c r="A217" s="51" t="s">
        <v>13</v>
      </c>
      <c r="B217" s="51" t="s">
        <v>306</v>
      </c>
      <c r="C217" s="51">
        <v>15</v>
      </c>
      <c r="D217" s="51">
        <v>0.0116</v>
      </c>
      <c r="E217" s="51">
        <v>11.571</v>
      </c>
      <c r="F217" s="51">
        <v>5</v>
      </c>
      <c r="G217" s="51">
        <v>25</v>
      </c>
      <c r="H217" s="51">
        <v>4</v>
      </c>
      <c r="I217" s="51">
        <v>0.02</v>
      </c>
      <c r="J217" s="51">
        <v>0.0251</v>
      </c>
      <c r="K217" s="51">
        <v>0.3557</v>
      </c>
      <c r="L217" s="51" t="s">
        <v>304</v>
      </c>
      <c r="M217" s="51" t="s">
        <v>20</v>
      </c>
    </row>
    <row r="218" spans="1:13">
      <c r="A218" s="51" t="s">
        <v>13</v>
      </c>
      <c r="B218" s="51" t="s">
        <v>307</v>
      </c>
      <c r="C218" s="51">
        <v>15</v>
      </c>
      <c r="D218" s="51">
        <v>0.0115</v>
      </c>
      <c r="E218" s="51">
        <v>11.536</v>
      </c>
      <c r="F218" s="51">
        <v>5</v>
      </c>
      <c r="G218" s="51">
        <v>25</v>
      </c>
      <c r="H218" s="51">
        <v>4</v>
      </c>
      <c r="I218" s="51">
        <v>0.02</v>
      </c>
      <c r="J218" s="51">
        <v>0.0251</v>
      </c>
      <c r="K218" s="51">
        <v>0.3547</v>
      </c>
      <c r="L218" s="51" t="s">
        <v>308</v>
      </c>
      <c r="M218" s="51" t="s">
        <v>16</v>
      </c>
    </row>
    <row r="219" spans="1:13">
      <c r="A219" s="51" t="s">
        <v>13</v>
      </c>
      <c r="B219" s="51" t="s">
        <v>309</v>
      </c>
      <c r="C219" s="51">
        <v>15</v>
      </c>
      <c r="D219" s="51">
        <v>0.0109</v>
      </c>
      <c r="E219" s="51">
        <v>10.8955</v>
      </c>
      <c r="F219" s="51">
        <v>5</v>
      </c>
      <c r="G219" s="51">
        <v>25</v>
      </c>
      <c r="H219" s="51">
        <v>4</v>
      </c>
      <c r="I219" s="51">
        <v>0.02</v>
      </c>
      <c r="J219" s="51">
        <v>0.0251</v>
      </c>
      <c r="K219" s="51">
        <v>0.3364</v>
      </c>
      <c r="L219" s="51" t="s">
        <v>308</v>
      </c>
      <c r="M219" s="51" t="s">
        <v>18</v>
      </c>
    </row>
    <row r="220" spans="1:13">
      <c r="A220" s="51" t="s">
        <v>13</v>
      </c>
      <c r="B220" s="51" t="s">
        <v>310</v>
      </c>
      <c r="C220" s="51">
        <v>15</v>
      </c>
      <c r="D220" s="51">
        <v>0.0114</v>
      </c>
      <c r="E220" s="51">
        <v>11.3925</v>
      </c>
      <c r="F220" s="51">
        <v>5</v>
      </c>
      <c r="G220" s="51">
        <v>25</v>
      </c>
      <c r="H220" s="51">
        <v>4</v>
      </c>
      <c r="I220" s="51">
        <v>0.02</v>
      </c>
      <c r="J220" s="51">
        <v>0.0251</v>
      </c>
      <c r="K220" s="51">
        <v>0.3506</v>
      </c>
      <c r="L220" s="51" t="s">
        <v>308</v>
      </c>
      <c r="M220" s="51" t="s">
        <v>20</v>
      </c>
    </row>
    <row r="221" spans="1:13">
      <c r="A221" s="51" t="s">
        <v>13</v>
      </c>
      <c r="B221" s="51" t="s">
        <v>311</v>
      </c>
      <c r="C221" s="51">
        <v>15</v>
      </c>
      <c r="D221" s="51">
        <v>0.0111</v>
      </c>
      <c r="E221" s="51">
        <v>11.109</v>
      </c>
      <c r="F221" s="51">
        <v>5</v>
      </c>
      <c r="G221" s="51">
        <v>25</v>
      </c>
      <c r="H221" s="51">
        <v>4</v>
      </c>
      <c r="I221" s="51">
        <v>0.02</v>
      </c>
      <c r="J221" s="51">
        <v>0.0251</v>
      </c>
      <c r="K221" s="51">
        <v>0.3425</v>
      </c>
      <c r="L221" s="51" t="s">
        <v>312</v>
      </c>
      <c r="M221" s="51" t="s">
        <v>16</v>
      </c>
    </row>
    <row r="222" spans="1:13">
      <c r="A222" s="51" t="s">
        <v>13</v>
      </c>
      <c r="B222" s="51" t="s">
        <v>313</v>
      </c>
      <c r="C222" s="51">
        <v>15</v>
      </c>
      <c r="D222" s="51">
        <v>0.0115</v>
      </c>
      <c r="E222" s="51">
        <v>11.501</v>
      </c>
      <c r="F222" s="51">
        <v>5</v>
      </c>
      <c r="G222" s="51">
        <v>25</v>
      </c>
      <c r="H222" s="51">
        <v>4</v>
      </c>
      <c r="I222" s="51">
        <v>0.02</v>
      </c>
      <c r="J222" s="51">
        <v>0.0251</v>
      </c>
      <c r="K222" s="51">
        <v>0.3537</v>
      </c>
      <c r="L222" s="51" t="s">
        <v>312</v>
      </c>
      <c r="M222" s="51" t="s">
        <v>18</v>
      </c>
    </row>
    <row r="223" spans="1:13">
      <c r="A223" s="51" t="s">
        <v>13</v>
      </c>
      <c r="B223" s="51" t="s">
        <v>314</v>
      </c>
      <c r="C223" s="51">
        <v>15</v>
      </c>
      <c r="D223" s="51">
        <v>0.0107</v>
      </c>
      <c r="E223" s="51">
        <v>10.682</v>
      </c>
      <c r="F223" s="51">
        <v>5</v>
      </c>
      <c r="G223" s="51">
        <v>25</v>
      </c>
      <c r="H223" s="51">
        <v>4</v>
      </c>
      <c r="I223" s="51">
        <v>0.02</v>
      </c>
      <c r="J223" s="51">
        <v>0.0251</v>
      </c>
      <c r="K223" s="51">
        <v>0.3303</v>
      </c>
      <c r="L223" s="51" t="s">
        <v>312</v>
      </c>
      <c r="M223" s="51" t="s">
        <v>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F15" sqref="F15"/>
    </sheetView>
  </sheetViews>
  <sheetFormatPr defaultColWidth="9" defaultRowHeight="14"/>
  <cols>
    <col min="1" max="1" width="14" style="51" customWidth="1"/>
    <col min="2" max="3" width="12.8181818181818" style="51" customWidth="1"/>
    <col min="4" max="4" width="8.54545454545454" style="51" customWidth="1"/>
    <col min="5" max="5" width="15.1818181818182" style="51" customWidth="1"/>
    <col min="6" max="6" width="13.3636363636364" style="51" customWidth="1"/>
    <col min="7" max="7" width="16.3636363636364" style="51" customWidth="1"/>
    <col min="8" max="9" width="12.8181818181818" style="51"/>
    <col min="10" max="16384" width="9" style="51"/>
  </cols>
  <sheetData>
    <row r="1" spans="1:9">
      <c r="A1" s="13" t="s">
        <v>2</v>
      </c>
      <c r="B1" s="13" t="s">
        <v>315</v>
      </c>
      <c r="C1" s="13" t="s">
        <v>316</v>
      </c>
      <c r="D1" s="13" t="s">
        <v>0</v>
      </c>
      <c r="E1" s="13" t="s">
        <v>317</v>
      </c>
      <c r="F1" s="13" t="s">
        <v>318</v>
      </c>
      <c r="G1" s="13" t="s">
        <v>319</v>
      </c>
      <c r="H1" s="13" t="s">
        <v>320</v>
      </c>
      <c r="I1" s="13" t="s">
        <v>321</v>
      </c>
    </row>
    <row r="2" spans="1:9">
      <c r="A2" s="33">
        <v>15</v>
      </c>
      <c r="B2" s="33">
        <v>9.22327777777778</v>
      </c>
      <c r="C2" s="33">
        <v>0.348573531031758</v>
      </c>
      <c r="D2" s="33" t="s">
        <v>70</v>
      </c>
      <c r="E2" s="33" t="s">
        <v>322</v>
      </c>
      <c r="F2" s="61" t="s">
        <v>323</v>
      </c>
      <c r="G2" s="33" t="str">
        <f>TEXT(B2,"0.000")&amp;" ± "&amp;TEXT(F2,"0.000")</f>
        <v>9.223 ± 0.208</v>
      </c>
      <c r="H2" s="57"/>
      <c r="I2" s="57"/>
    </row>
    <row r="3" spans="1:9">
      <c r="A3" s="33">
        <v>25</v>
      </c>
      <c r="B3" s="33">
        <v>10.2639444444444</v>
      </c>
      <c r="C3" s="33">
        <v>0.419724065130501</v>
      </c>
      <c r="D3" s="33" t="s">
        <v>70</v>
      </c>
      <c r="E3" s="33" t="s">
        <v>324</v>
      </c>
      <c r="F3" s="61" t="s">
        <v>325</v>
      </c>
      <c r="G3" s="33" t="str">
        <f t="shared" ref="G3:G13" si="0">TEXT(B3,"0.000")&amp;" ± "&amp;TEXT(F3,"0.000")</f>
        <v>10.264 ± 0.152</v>
      </c>
      <c r="H3" s="57"/>
      <c r="I3" s="57"/>
    </row>
    <row r="4" spans="1:9">
      <c r="A4" s="33">
        <v>30</v>
      </c>
      <c r="B4" s="33">
        <v>9.30338888888889</v>
      </c>
      <c r="C4" s="33">
        <v>1.28271279114818</v>
      </c>
      <c r="D4" s="33" t="s">
        <v>70</v>
      </c>
      <c r="E4" s="33" t="s">
        <v>326</v>
      </c>
      <c r="F4" s="61" t="s">
        <v>327</v>
      </c>
      <c r="G4" s="33" t="str">
        <f t="shared" si="0"/>
        <v>9.303 ± 0.514</v>
      </c>
      <c r="H4" s="57"/>
      <c r="I4" s="57"/>
    </row>
    <row r="5" spans="1:9">
      <c r="A5" s="33">
        <v>40</v>
      </c>
      <c r="B5" s="33">
        <v>8.43966666666667</v>
      </c>
      <c r="C5" s="33">
        <v>0.723999625920714</v>
      </c>
      <c r="D5" s="33" t="s">
        <v>70</v>
      </c>
      <c r="E5" s="33" t="s">
        <v>328</v>
      </c>
      <c r="F5" s="61" t="s">
        <v>329</v>
      </c>
      <c r="G5" s="33" t="str">
        <f t="shared" si="0"/>
        <v>8.440 ± 0.387</v>
      </c>
      <c r="H5" s="57"/>
      <c r="I5" s="57"/>
    </row>
    <row r="6" spans="1:9">
      <c r="A6" s="53">
        <v>15</v>
      </c>
      <c r="B6" s="62" t="s">
        <v>330</v>
      </c>
      <c r="C6" s="53">
        <v>1.0418517388533</v>
      </c>
      <c r="D6" s="53" t="s">
        <v>41</v>
      </c>
      <c r="E6" s="53" t="s">
        <v>331</v>
      </c>
      <c r="F6" s="63" t="s">
        <v>332</v>
      </c>
      <c r="G6" s="53" t="str">
        <f t="shared" si="0"/>
        <v>11.186 ± 0.474</v>
      </c>
      <c r="H6" s="57"/>
      <c r="I6" s="57"/>
    </row>
    <row r="7" spans="1:9">
      <c r="A7" s="53">
        <v>25</v>
      </c>
      <c r="B7" s="53">
        <v>11.1109444444444</v>
      </c>
      <c r="C7" s="53">
        <v>0.639902012004432</v>
      </c>
      <c r="D7" s="53" t="s">
        <v>41</v>
      </c>
      <c r="E7" s="53" t="s">
        <v>333</v>
      </c>
      <c r="F7" s="63" t="s">
        <v>334</v>
      </c>
      <c r="G7" s="53" t="str">
        <f t="shared" si="0"/>
        <v>11.111 ± 0.366</v>
      </c>
      <c r="H7" s="57"/>
      <c r="I7" s="57"/>
    </row>
    <row r="8" spans="1:9">
      <c r="A8" s="53">
        <v>30</v>
      </c>
      <c r="B8" s="53">
        <v>11.8016111111111</v>
      </c>
      <c r="C8" s="53">
        <v>0.451412832949656</v>
      </c>
      <c r="D8" s="53" t="s">
        <v>41</v>
      </c>
      <c r="E8" s="53" t="s">
        <v>335</v>
      </c>
      <c r="F8" s="63" t="s">
        <v>336</v>
      </c>
      <c r="G8" s="53" t="str">
        <f t="shared" si="0"/>
        <v>11.802 ± 0.165</v>
      </c>
      <c r="H8" s="57"/>
      <c r="I8" s="57"/>
    </row>
    <row r="9" spans="1:9">
      <c r="A9" s="53">
        <v>40</v>
      </c>
      <c r="B9" s="53">
        <v>9.93633333333333</v>
      </c>
      <c r="C9" s="53">
        <v>0.941040253301278</v>
      </c>
      <c r="D9" s="53" t="s">
        <v>41</v>
      </c>
      <c r="E9" s="53" t="s">
        <v>337</v>
      </c>
      <c r="F9" s="63" t="s">
        <v>338</v>
      </c>
      <c r="G9" s="53" t="str">
        <f t="shared" si="0"/>
        <v>9.936 ± 0.421</v>
      </c>
      <c r="H9" s="59">
        <f>B8-B9</f>
        <v>1.86527777777777</v>
      </c>
      <c r="I9" s="59">
        <f>H9/F9</f>
        <v>4.42866444362087</v>
      </c>
    </row>
    <row r="10" spans="1:9">
      <c r="A10" s="55">
        <v>15</v>
      </c>
      <c r="B10" s="55">
        <v>11.1725833333333</v>
      </c>
      <c r="C10" s="55">
        <v>0.447984317280652</v>
      </c>
      <c r="D10" s="55" t="s">
        <v>13</v>
      </c>
      <c r="E10" s="55" t="s">
        <v>339</v>
      </c>
      <c r="F10" s="64" t="s">
        <v>340</v>
      </c>
      <c r="G10" s="55" t="str">
        <f t="shared" si="0"/>
        <v>11.173 ± 0.221</v>
      </c>
      <c r="H10" s="57"/>
      <c r="I10" s="57"/>
    </row>
    <row r="11" spans="1:9">
      <c r="A11" s="55">
        <v>25</v>
      </c>
      <c r="B11" s="55">
        <v>11.4486944444445</v>
      </c>
      <c r="C11" s="55">
        <v>1.25926860353527</v>
      </c>
      <c r="D11" s="55" t="s">
        <v>13</v>
      </c>
      <c r="E11" s="55" t="s">
        <v>341</v>
      </c>
      <c r="F11" s="64" t="s">
        <v>342</v>
      </c>
      <c r="G11" s="55" t="str">
        <f t="shared" si="0"/>
        <v>11.449 ± 0.519</v>
      </c>
      <c r="H11" s="57"/>
      <c r="I11" s="57"/>
    </row>
    <row r="12" spans="1:9">
      <c r="A12" s="55">
        <v>30</v>
      </c>
      <c r="B12" s="55">
        <v>12.5793888888889</v>
      </c>
      <c r="C12" s="55">
        <v>0.343757333849277</v>
      </c>
      <c r="D12" s="55" t="s">
        <v>13</v>
      </c>
      <c r="E12" s="55" t="s">
        <v>343</v>
      </c>
      <c r="F12" s="64" t="s">
        <v>344</v>
      </c>
      <c r="G12" s="55" t="str">
        <f t="shared" si="0"/>
        <v>12.579 ± 0.195</v>
      </c>
      <c r="H12" s="57"/>
      <c r="I12" s="57"/>
    </row>
    <row r="13" spans="1:9">
      <c r="A13" s="55">
        <v>40</v>
      </c>
      <c r="B13" s="55">
        <v>12.3468333333333</v>
      </c>
      <c r="C13" s="55">
        <v>0.805604887829088</v>
      </c>
      <c r="D13" s="55" t="s">
        <v>13</v>
      </c>
      <c r="E13" s="55" t="s">
        <v>345</v>
      </c>
      <c r="F13" s="64" t="s">
        <v>346</v>
      </c>
      <c r="G13" s="55" t="str">
        <f t="shared" si="0"/>
        <v>12.347 ± 0.493</v>
      </c>
      <c r="H13" s="57"/>
      <c r="I13" s="5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E14" sqref="E14"/>
    </sheetView>
  </sheetViews>
  <sheetFormatPr defaultColWidth="9" defaultRowHeight="14"/>
  <cols>
    <col min="1" max="3" width="8.09090909090909" style="51" customWidth="1"/>
    <col min="4" max="4" width="12.8181818181818" style="51" customWidth="1"/>
    <col min="5" max="5" width="16.4545454545455" style="51" customWidth="1"/>
    <col min="6" max="6" width="9.54545454545454" style="51" customWidth="1"/>
    <col min="7" max="7" width="11.5454545454545" style="51" customWidth="1"/>
    <col min="8" max="8" width="8.54545454545454" style="51" customWidth="1"/>
    <col min="9" max="9" width="12.8181818181818" style="51" customWidth="1"/>
    <col min="10" max="16384" width="9" style="51"/>
  </cols>
  <sheetData>
    <row r="1" spans="1:9">
      <c r="A1" s="13" t="s">
        <v>347</v>
      </c>
      <c r="B1" s="13" t="s">
        <v>348</v>
      </c>
      <c r="C1" s="13" t="s">
        <v>349</v>
      </c>
      <c r="D1" s="13" t="s">
        <v>350</v>
      </c>
      <c r="E1" s="13" t="s">
        <v>351</v>
      </c>
      <c r="F1" s="13" t="s">
        <v>352</v>
      </c>
      <c r="G1" s="13" t="s">
        <v>353</v>
      </c>
      <c r="H1" s="13" t="s">
        <v>0</v>
      </c>
      <c r="I1" s="13" t="s">
        <v>354</v>
      </c>
    </row>
    <row r="2" spans="1:9">
      <c r="A2" s="33">
        <v>40</v>
      </c>
      <c r="B2" s="33">
        <v>30</v>
      </c>
      <c r="C2" s="33">
        <v>84</v>
      </c>
      <c r="D2" s="33">
        <v>0.00322334982542882</v>
      </c>
      <c r="E2" s="33">
        <v>0.555556</v>
      </c>
      <c r="F2" s="33">
        <v>0.777778</v>
      </c>
      <c r="G2" s="33" t="s">
        <v>355</v>
      </c>
      <c r="H2" s="33" t="s">
        <v>70</v>
      </c>
      <c r="I2" s="52">
        <v>0.00527457244161079</v>
      </c>
    </row>
    <row r="3" spans="1:9">
      <c r="A3" s="33">
        <v>40</v>
      </c>
      <c r="B3" s="33">
        <v>25</v>
      </c>
      <c r="C3" s="33">
        <v>3</v>
      </c>
      <c r="D3" s="33">
        <v>1.7038607285579e-7</v>
      </c>
      <c r="E3" s="33">
        <v>0.984127</v>
      </c>
      <c r="F3" s="33">
        <v>0.992063</v>
      </c>
      <c r="G3" s="33" t="s">
        <v>356</v>
      </c>
      <c r="H3" s="33" t="s">
        <v>70</v>
      </c>
      <c r="I3" s="65" t="s">
        <v>357</v>
      </c>
    </row>
    <row r="4" spans="1:9">
      <c r="A4" s="33">
        <v>40</v>
      </c>
      <c r="B4" s="33">
        <v>15</v>
      </c>
      <c r="C4" s="33">
        <v>47.5</v>
      </c>
      <c r="D4" s="33">
        <v>7.02476935982772e-5</v>
      </c>
      <c r="E4" s="33">
        <v>0.748677</v>
      </c>
      <c r="F4" s="33">
        <v>0.874339</v>
      </c>
      <c r="G4" s="33" t="s">
        <v>358</v>
      </c>
      <c r="H4" s="33" t="s">
        <v>70</v>
      </c>
      <c r="I4" s="52">
        <v>0.000210743080794832</v>
      </c>
    </row>
    <row r="5" spans="1:9">
      <c r="A5" s="33">
        <v>30</v>
      </c>
      <c r="B5" s="33">
        <v>25</v>
      </c>
      <c r="C5" s="33">
        <v>75</v>
      </c>
      <c r="D5" s="33">
        <v>0.00619519191876584</v>
      </c>
      <c r="E5" s="33">
        <v>0.537037</v>
      </c>
      <c r="F5" s="33">
        <v>0.768519</v>
      </c>
      <c r="G5" s="33" t="s">
        <v>359</v>
      </c>
      <c r="H5" s="33" t="s">
        <v>70</v>
      </c>
      <c r="I5" s="52">
        <v>0.00929278787814876</v>
      </c>
    </row>
    <row r="6" spans="1:9">
      <c r="A6" s="33">
        <v>30</v>
      </c>
      <c r="B6" s="33">
        <v>15</v>
      </c>
      <c r="C6" s="33">
        <v>189</v>
      </c>
      <c r="D6" s="33">
        <v>0.401672036453078</v>
      </c>
      <c r="E6" s="33">
        <v>-0.166667</v>
      </c>
      <c r="F6" s="33">
        <v>0.583333</v>
      </c>
      <c r="G6" s="33" t="s">
        <v>360</v>
      </c>
      <c r="H6" s="33" t="s">
        <v>70</v>
      </c>
      <c r="I6" s="33">
        <v>0.401672036453078</v>
      </c>
    </row>
    <row r="7" spans="1:9">
      <c r="A7" s="33">
        <v>25</v>
      </c>
      <c r="B7" s="33">
        <v>15</v>
      </c>
      <c r="C7" s="33">
        <v>317.5</v>
      </c>
      <c r="D7" s="33">
        <v>9.30105616441413e-7</v>
      </c>
      <c r="E7" s="33">
        <v>-0.959877</v>
      </c>
      <c r="F7" s="33">
        <v>0.979938</v>
      </c>
      <c r="G7" s="33" t="s">
        <v>361</v>
      </c>
      <c r="H7" s="33" t="s">
        <v>70</v>
      </c>
      <c r="I7" s="52">
        <v>4.18547527398636e-6</v>
      </c>
    </row>
    <row r="8" spans="1:9">
      <c r="A8" s="53">
        <v>40</v>
      </c>
      <c r="B8" s="53">
        <v>30</v>
      </c>
      <c r="C8" s="53">
        <v>14</v>
      </c>
      <c r="D8" s="53">
        <v>8.78913122883619e-7</v>
      </c>
      <c r="E8" s="53">
        <v>0.925926</v>
      </c>
      <c r="F8" s="53">
        <v>0.962963</v>
      </c>
      <c r="G8" s="53" t="s">
        <v>355</v>
      </c>
      <c r="H8" s="53" t="s">
        <v>41</v>
      </c>
      <c r="I8" s="66" t="s">
        <v>362</v>
      </c>
    </row>
    <row r="9" spans="1:9">
      <c r="A9" s="53">
        <v>40</v>
      </c>
      <c r="B9" s="53">
        <v>25</v>
      </c>
      <c r="C9" s="53">
        <v>57</v>
      </c>
      <c r="D9" s="53">
        <v>0.000211417561452338</v>
      </c>
      <c r="E9" s="53">
        <v>0.698413</v>
      </c>
      <c r="F9" s="53">
        <v>0.849206</v>
      </c>
      <c r="G9" s="53" t="s">
        <v>356</v>
      </c>
      <c r="H9" s="53" t="s">
        <v>41</v>
      </c>
      <c r="I9" s="54">
        <v>0.000543645158020298</v>
      </c>
    </row>
    <row r="10" spans="1:9">
      <c r="A10" s="53">
        <v>40</v>
      </c>
      <c r="B10" s="53">
        <v>15</v>
      </c>
      <c r="C10" s="53">
        <v>65</v>
      </c>
      <c r="D10" s="53">
        <v>0.000502218118667566</v>
      </c>
      <c r="E10" s="53">
        <v>0.656085</v>
      </c>
      <c r="F10" s="53">
        <v>0.828042</v>
      </c>
      <c r="G10" s="53" t="s">
        <v>358</v>
      </c>
      <c r="H10" s="53" t="s">
        <v>41</v>
      </c>
      <c r="I10" s="54">
        <v>0.00100443623733513</v>
      </c>
    </row>
    <row r="11" spans="1:9">
      <c r="A11" s="53">
        <v>30</v>
      </c>
      <c r="B11" s="53">
        <v>25</v>
      </c>
      <c r="C11" s="53">
        <v>260</v>
      </c>
      <c r="D11" s="53">
        <v>0.00203442286984789</v>
      </c>
      <c r="E11" s="53">
        <v>-0.604938</v>
      </c>
      <c r="F11" s="53">
        <v>0.802469</v>
      </c>
      <c r="G11" s="53" t="s">
        <v>363</v>
      </c>
      <c r="H11" s="53" t="s">
        <v>41</v>
      </c>
      <c r="I11" s="54">
        <v>0.0036619611657262</v>
      </c>
    </row>
    <row r="12" spans="1:9">
      <c r="A12" s="53">
        <v>30</v>
      </c>
      <c r="B12" s="53">
        <v>15</v>
      </c>
      <c r="C12" s="53">
        <v>229</v>
      </c>
      <c r="D12" s="53">
        <v>0.0353577154004747</v>
      </c>
      <c r="E12" s="53">
        <v>-0.41358</v>
      </c>
      <c r="F12" s="53">
        <v>0.70679</v>
      </c>
      <c r="G12" s="53" t="s">
        <v>360</v>
      </c>
      <c r="H12" s="53" t="s">
        <v>41</v>
      </c>
      <c r="I12" s="54">
        <v>0.0454599198006103</v>
      </c>
    </row>
    <row r="13" spans="1:9">
      <c r="A13" s="53">
        <v>25</v>
      </c>
      <c r="B13" s="53">
        <v>15</v>
      </c>
      <c r="C13" s="53">
        <v>130.5</v>
      </c>
      <c r="D13" s="53">
        <v>0.326537355843317</v>
      </c>
      <c r="E13" s="53">
        <v>0.194444</v>
      </c>
      <c r="F13" s="53">
        <v>0.597222</v>
      </c>
      <c r="G13" s="53" t="s">
        <v>364</v>
      </c>
      <c r="H13" s="53" t="s">
        <v>41</v>
      </c>
      <c r="I13" s="53">
        <v>0.345745435598806</v>
      </c>
    </row>
    <row r="14" spans="1:9">
      <c r="A14" s="55">
        <v>40</v>
      </c>
      <c r="B14" s="55">
        <v>30</v>
      </c>
      <c r="C14" s="55">
        <v>128</v>
      </c>
      <c r="D14" s="55">
        <v>0.288913794879257</v>
      </c>
      <c r="E14" s="55">
        <v>0.209877</v>
      </c>
      <c r="F14" s="55">
        <v>0.604938</v>
      </c>
      <c r="G14" s="55" t="s">
        <v>355</v>
      </c>
      <c r="H14" s="55" t="s">
        <v>13</v>
      </c>
      <c r="I14" s="55">
        <v>0.325028019239164</v>
      </c>
    </row>
    <row r="15" spans="1:9">
      <c r="A15" s="55">
        <v>40</v>
      </c>
      <c r="B15" s="55">
        <v>25</v>
      </c>
      <c r="C15" s="55">
        <v>229</v>
      </c>
      <c r="D15" s="55">
        <v>0.0352868818638024</v>
      </c>
      <c r="E15" s="55">
        <v>-0.41358</v>
      </c>
      <c r="F15" s="55">
        <v>0.70679</v>
      </c>
      <c r="G15" s="55" t="s">
        <v>365</v>
      </c>
      <c r="H15" s="55" t="s">
        <v>13</v>
      </c>
      <c r="I15" s="56">
        <v>0.0454599198006103</v>
      </c>
    </row>
    <row r="16" spans="1:9">
      <c r="A16" s="55">
        <v>40</v>
      </c>
      <c r="B16" s="55">
        <v>15</v>
      </c>
      <c r="C16" s="55">
        <v>294</v>
      </c>
      <c r="D16" s="55">
        <v>3.14248191211312e-5</v>
      </c>
      <c r="E16" s="55">
        <v>-0.814815</v>
      </c>
      <c r="F16" s="55">
        <v>0.907407</v>
      </c>
      <c r="G16" s="55" t="s">
        <v>366</v>
      </c>
      <c r="H16" s="55" t="s">
        <v>13</v>
      </c>
      <c r="I16" s="56">
        <v>0.000113129348836072</v>
      </c>
    </row>
    <row r="17" spans="1:9">
      <c r="A17" s="55">
        <v>30</v>
      </c>
      <c r="B17" s="55">
        <v>25</v>
      </c>
      <c r="C17" s="55">
        <v>274</v>
      </c>
      <c r="D17" s="55">
        <v>0.000418103405399756</v>
      </c>
      <c r="E17" s="55">
        <v>-0.691358</v>
      </c>
      <c r="F17" s="55">
        <v>0.845679</v>
      </c>
      <c r="G17" s="55" t="s">
        <v>363</v>
      </c>
      <c r="H17" s="55" t="s">
        <v>13</v>
      </c>
      <c r="I17" s="56">
        <v>0.000940732662149452</v>
      </c>
    </row>
    <row r="18" spans="1:9">
      <c r="A18" s="55">
        <v>30</v>
      </c>
      <c r="B18" s="55">
        <v>15</v>
      </c>
      <c r="C18" s="55">
        <v>324</v>
      </c>
      <c r="D18" s="55">
        <v>3.20543487652033e-7</v>
      </c>
      <c r="E18" s="55">
        <v>-1</v>
      </c>
      <c r="F18" s="55">
        <v>1</v>
      </c>
      <c r="G18" s="55" t="s">
        <v>360</v>
      </c>
      <c r="H18" s="55" t="s">
        <v>13</v>
      </c>
      <c r="I18" s="67" t="s">
        <v>357</v>
      </c>
    </row>
    <row r="19" spans="1:9">
      <c r="A19" s="55">
        <v>25</v>
      </c>
      <c r="B19" s="55">
        <v>15</v>
      </c>
      <c r="C19" s="55">
        <v>211</v>
      </c>
      <c r="D19" s="55">
        <v>0.124840725256313</v>
      </c>
      <c r="E19" s="55">
        <v>-0.302469</v>
      </c>
      <c r="F19" s="55">
        <v>0.651235</v>
      </c>
      <c r="G19" s="55" t="s">
        <v>361</v>
      </c>
      <c r="H19" s="55" t="s">
        <v>13</v>
      </c>
      <c r="I19" s="55">
        <v>0.149808870307576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3"/>
  <sheetViews>
    <sheetView tabSelected="1" workbookViewId="0">
      <selection activeCell="M15" sqref="M15"/>
    </sheetView>
  </sheetViews>
  <sheetFormatPr defaultColWidth="8.72727272727273" defaultRowHeight="14"/>
  <cols>
    <col min="1" max="1" width="11.7272727272727" customWidth="1"/>
    <col min="2" max="2" width="17.7272727272727" customWidth="1"/>
    <col min="3" max="3" width="16.3636363636364" customWidth="1"/>
    <col min="4" max="4" width="21.9090909090909" customWidth="1"/>
    <col min="6" max="6" width="12.8181818181818"/>
    <col min="7" max="7" width="14"/>
    <col min="8" max="8" width="12.8181818181818"/>
    <col min="9" max="10" width="14"/>
  </cols>
  <sheetData>
    <row r="1" spans="1:10">
      <c r="A1" s="13" t="s">
        <v>0</v>
      </c>
      <c r="B1" s="13" t="s">
        <v>2</v>
      </c>
      <c r="C1" s="13" t="s">
        <v>11</v>
      </c>
      <c r="D1" s="13" t="s">
        <v>12</v>
      </c>
      <c r="E1" s="13" t="s">
        <v>4</v>
      </c>
      <c r="F1" s="13" t="s">
        <v>367</v>
      </c>
      <c r="G1" s="13" t="s">
        <v>368</v>
      </c>
      <c r="H1" s="13" t="s">
        <v>369</v>
      </c>
      <c r="I1" s="13" t="s">
        <v>370</v>
      </c>
    </row>
    <row r="2" s="1" customFormat="1" spans="1:10">
      <c r="A2" s="14" t="s">
        <v>13</v>
      </c>
      <c r="B2" s="14">
        <v>40</v>
      </c>
      <c r="C2" s="14" t="s">
        <v>15</v>
      </c>
      <c r="D2" s="14" t="s">
        <v>16</v>
      </c>
      <c r="E2" s="14">
        <v>13.3385</v>
      </c>
      <c r="F2" s="15">
        <f>_xlfn.STDEV.S(E2:E4)</f>
        <v>0.786550538744968</v>
      </c>
      <c r="G2" s="16">
        <f>F2^2</f>
        <v>0.61866175</v>
      </c>
      <c r="H2" s="1">
        <f>AVERAGE(G2:G17)</f>
        <v>0.243131619791667</v>
      </c>
      <c r="I2" s="68" t="s">
        <v>346</v>
      </c>
      <c r="J2" s="17"/>
    </row>
    <row r="3" s="1" customFormat="1" spans="1:10">
      <c r="A3" s="14" t="s">
        <v>13</v>
      </c>
      <c r="B3" s="14">
        <v>40</v>
      </c>
      <c r="C3" s="14" t="s">
        <v>15</v>
      </c>
      <c r="D3" s="14" t="s">
        <v>18</v>
      </c>
      <c r="E3" s="14">
        <v>11.844</v>
      </c>
      <c r="F3" s="15"/>
      <c r="G3" s="16">
        <f t="shared" ref="G3:G66" si="0">F3^2</f>
        <v>0</v>
      </c>
      <c r="J3" s="17"/>
    </row>
    <row r="4" s="1" customFormat="1" spans="1:10">
      <c r="A4" s="14" t="s">
        <v>13</v>
      </c>
      <c r="B4" s="14">
        <v>40</v>
      </c>
      <c r="C4" s="14" t="s">
        <v>15</v>
      </c>
      <c r="D4" s="14" t="s">
        <v>20</v>
      </c>
      <c r="E4" s="14">
        <v>12.166</v>
      </c>
      <c r="F4" s="15"/>
      <c r="G4" s="16">
        <f t="shared" si="0"/>
        <v>0</v>
      </c>
      <c r="J4" s="17"/>
    </row>
    <row r="5" s="1" customFormat="1" spans="1:10">
      <c r="A5" s="14" t="s">
        <v>13</v>
      </c>
      <c r="B5" s="14">
        <v>40</v>
      </c>
      <c r="C5" s="14" t="s">
        <v>22</v>
      </c>
      <c r="D5" s="14" t="s">
        <v>16</v>
      </c>
      <c r="E5" s="14">
        <v>12.593</v>
      </c>
      <c r="F5" s="15">
        <f>_xlfn.STDEV.S(E5:E7)</f>
        <v>0.437350641171742</v>
      </c>
      <c r="G5" s="16">
        <f t="shared" si="0"/>
        <v>0.191275583333334</v>
      </c>
      <c r="J5" s="17"/>
    </row>
    <row r="6" s="1" customFormat="1" spans="1:10">
      <c r="A6" s="14" t="s">
        <v>13</v>
      </c>
      <c r="B6" s="14">
        <v>40</v>
      </c>
      <c r="C6" s="14" t="s">
        <v>22</v>
      </c>
      <c r="D6" s="14" t="s">
        <v>18</v>
      </c>
      <c r="E6" s="14">
        <v>12.4495</v>
      </c>
      <c r="F6" s="15"/>
      <c r="G6" s="16">
        <f t="shared" si="0"/>
        <v>0</v>
      </c>
      <c r="H6" s="16"/>
      <c r="J6" s="17"/>
    </row>
    <row r="7" s="1" customFormat="1" spans="1:10">
      <c r="A7" s="14" t="s">
        <v>13</v>
      </c>
      <c r="B7" s="14">
        <v>40</v>
      </c>
      <c r="C7" s="14" t="s">
        <v>22</v>
      </c>
      <c r="D7" s="14" t="s">
        <v>20</v>
      </c>
      <c r="E7" s="14">
        <v>11.774</v>
      </c>
      <c r="F7" s="15"/>
      <c r="G7" s="16">
        <f t="shared" si="0"/>
        <v>0</v>
      </c>
      <c r="J7" s="17"/>
    </row>
    <row r="8" s="1" customFormat="1" spans="1:10">
      <c r="A8" s="14" t="s">
        <v>13</v>
      </c>
      <c r="B8" s="14">
        <v>40</v>
      </c>
      <c r="C8" s="14" t="s">
        <v>26</v>
      </c>
      <c r="D8" s="14" t="s">
        <v>16</v>
      </c>
      <c r="E8" s="14">
        <v>12.4495</v>
      </c>
      <c r="F8" s="15">
        <f>_xlfn.STDEV.S(E8:E10)</f>
        <v>0.699206216600892</v>
      </c>
      <c r="G8" s="16">
        <f t="shared" si="0"/>
        <v>0.488889333333334</v>
      </c>
      <c r="J8" s="17"/>
    </row>
    <row r="9" s="1" customFormat="1" spans="1:10">
      <c r="A9" s="14" t="s">
        <v>13</v>
      </c>
      <c r="B9" s="14">
        <v>40</v>
      </c>
      <c r="C9" s="14" t="s">
        <v>26</v>
      </c>
      <c r="D9" s="14" t="s">
        <v>18</v>
      </c>
      <c r="E9" s="14">
        <v>11.5955</v>
      </c>
      <c r="F9" s="15"/>
      <c r="G9" s="16">
        <f t="shared" si="0"/>
        <v>0</v>
      </c>
      <c r="J9" s="17"/>
    </row>
    <row r="10" s="1" customFormat="1" spans="1:10">
      <c r="A10" s="14" t="s">
        <v>13</v>
      </c>
      <c r="B10" s="14">
        <v>40</v>
      </c>
      <c r="C10" s="14" t="s">
        <v>26</v>
      </c>
      <c r="D10" s="14" t="s">
        <v>20</v>
      </c>
      <c r="E10" s="14">
        <v>12.9815</v>
      </c>
      <c r="F10" s="15"/>
      <c r="G10" s="16">
        <f t="shared" si="0"/>
        <v>0</v>
      </c>
      <c r="J10" s="17"/>
    </row>
    <row r="11" s="1" customFormat="1" spans="1:10">
      <c r="A11" s="14" t="s">
        <v>13</v>
      </c>
      <c r="B11" s="14">
        <v>40</v>
      </c>
      <c r="C11" s="14" t="s">
        <v>30</v>
      </c>
      <c r="D11" s="14" t="s">
        <v>16</v>
      </c>
      <c r="E11" s="14">
        <v>10.955</v>
      </c>
      <c r="F11" s="15">
        <f>_xlfn.STDEV.S(E11:E13)</f>
        <v>0.935759762617165</v>
      </c>
      <c r="G11" s="16">
        <f t="shared" si="0"/>
        <v>0.875646333333333</v>
      </c>
      <c r="J11" s="17"/>
    </row>
    <row r="12" s="1" customFormat="1" spans="1:10">
      <c r="A12" s="14" t="s">
        <v>13</v>
      </c>
      <c r="B12" s="14">
        <v>40</v>
      </c>
      <c r="C12" s="14" t="s">
        <v>30</v>
      </c>
      <c r="D12" s="14" t="s">
        <v>18</v>
      </c>
      <c r="E12" s="14">
        <v>10.99</v>
      </c>
      <c r="F12" s="15"/>
      <c r="G12" s="16">
        <f t="shared" si="0"/>
        <v>0</v>
      </c>
      <c r="J12" s="17"/>
    </row>
    <row r="13" s="1" customFormat="1" spans="1:10">
      <c r="A13" s="14" t="s">
        <v>13</v>
      </c>
      <c r="B13" s="14">
        <v>40</v>
      </c>
      <c r="C13" s="14" t="s">
        <v>30</v>
      </c>
      <c r="D13" s="14" t="s">
        <v>20</v>
      </c>
      <c r="E13" s="14">
        <v>12.593</v>
      </c>
      <c r="F13" s="15"/>
      <c r="G13" s="16">
        <f t="shared" si="0"/>
        <v>0</v>
      </c>
      <c r="J13" s="17"/>
    </row>
    <row r="14" s="1" customFormat="1" spans="1:10">
      <c r="A14" s="14" t="s">
        <v>13</v>
      </c>
      <c r="B14" s="14">
        <v>40</v>
      </c>
      <c r="C14" s="14" t="s">
        <v>34</v>
      </c>
      <c r="D14" s="14" t="s">
        <v>16</v>
      </c>
      <c r="E14" s="14">
        <v>12.593</v>
      </c>
      <c r="F14" s="15">
        <f>_xlfn.STDEV.S(E14:E16)</f>
        <v>1.23810160460817</v>
      </c>
      <c r="G14" s="16">
        <f t="shared" si="0"/>
        <v>1.53289558333333</v>
      </c>
      <c r="J14" s="17"/>
    </row>
    <row r="15" s="1" customFormat="1" spans="1:10">
      <c r="A15" s="14" t="s">
        <v>13</v>
      </c>
      <c r="B15" s="14">
        <v>40</v>
      </c>
      <c r="C15" s="14" t="s">
        <v>34</v>
      </c>
      <c r="D15" s="14" t="s">
        <v>18</v>
      </c>
      <c r="E15" s="14">
        <v>11.844</v>
      </c>
      <c r="F15" s="15"/>
      <c r="G15" s="16">
        <f t="shared" si="0"/>
        <v>0</v>
      </c>
      <c r="J15" s="17"/>
    </row>
    <row r="16" s="1" customFormat="1" spans="1:10">
      <c r="A16" s="14" t="s">
        <v>13</v>
      </c>
      <c r="B16" s="14">
        <v>40</v>
      </c>
      <c r="C16" s="14" t="s">
        <v>34</v>
      </c>
      <c r="D16" s="14" t="s">
        <v>20</v>
      </c>
      <c r="E16" s="14">
        <v>14.2625</v>
      </c>
      <c r="F16" s="15"/>
      <c r="G16" s="16">
        <f t="shared" si="0"/>
        <v>0</v>
      </c>
      <c r="J16" s="17"/>
    </row>
    <row r="17" s="1" customFormat="1" spans="1:10">
      <c r="A17" s="14" t="s">
        <v>13</v>
      </c>
      <c r="B17" s="14">
        <v>40</v>
      </c>
      <c r="C17" s="14" t="s">
        <v>38</v>
      </c>
      <c r="D17" s="14" t="s">
        <v>16</v>
      </c>
      <c r="E17" s="14">
        <v>12.166</v>
      </c>
      <c r="F17" s="15">
        <f>_xlfn.STDEV.S(E17:E19)</f>
        <v>0.427477874671114</v>
      </c>
      <c r="G17" s="16">
        <f t="shared" si="0"/>
        <v>0.182737333333333</v>
      </c>
      <c r="J17" s="17"/>
    </row>
    <row r="18" s="1" customFormat="1" spans="1:10">
      <c r="A18" s="14" t="s">
        <v>13</v>
      </c>
      <c r="B18" s="14">
        <v>40</v>
      </c>
      <c r="C18" s="14" t="s">
        <v>38</v>
      </c>
      <c r="D18" s="14" t="s">
        <v>18</v>
      </c>
      <c r="E18" s="14">
        <v>13.02</v>
      </c>
      <c r="F18" s="15"/>
      <c r="G18" s="16">
        <f t="shared" si="0"/>
        <v>0</v>
      </c>
      <c r="J18" s="17"/>
    </row>
    <row r="19" s="1" customFormat="1" spans="1:10">
      <c r="A19" s="14" t="s">
        <v>13</v>
      </c>
      <c r="B19" s="14">
        <v>40</v>
      </c>
      <c r="C19" s="14" t="s">
        <v>38</v>
      </c>
      <c r="D19" s="14" t="s">
        <v>20</v>
      </c>
      <c r="E19" s="14">
        <v>12.628</v>
      </c>
      <c r="F19" s="15"/>
      <c r="G19" s="16">
        <f t="shared" si="0"/>
        <v>0</v>
      </c>
      <c r="J19" s="17"/>
    </row>
    <row r="20" s="2" customFormat="1" spans="1:10">
      <c r="A20" s="18" t="s">
        <v>41</v>
      </c>
      <c r="B20" s="18">
        <v>40</v>
      </c>
      <c r="C20" s="18" t="s">
        <v>43</v>
      </c>
      <c r="D20" s="18" t="s">
        <v>16</v>
      </c>
      <c r="E20" s="18">
        <v>9.52</v>
      </c>
      <c r="F20" s="19">
        <f>_xlfn.STDEV.S(E20:E22)</f>
        <v>0.236899416067945</v>
      </c>
      <c r="G20" s="20">
        <f t="shared" si="0"/>
        <v>0.0561213333333333</v>
      </c>
      <c r="H20" s="2">
        <f>AVERAGE(G20:G38)</f>
        <v>0.177395043859649</v>
      </c>
      <c r="I20" s="69" t="s">
        <v>338</v>
      </c>
      <c r="J20" s="17"/>
    </row>
    <row r="21" s="2" customFormat="1" spans="1:10">
      <c r="A21" s="18" t="s">
        <v>41</v>
      </c>
      <c r="B21" s="18">
        <v>40</v>
      </c>
      <c r="C21" s="18" t="s">
        <v>43</v>
      </c>
      <c r="D21" s="18" t="s">
        <v>18</v>
      </c>
      <c r="E21" s="18">
        <v>9.842</v>
      </c>
      <c r="F21" s="19"/>
      <c r="G21" s="20">
        <f t="shared" si="0"/>
        <v>0</v>
      </c>
      <c r="J21" s="17"/>
    </row>
    <row r="22" s="2" customFormat="1" spans="1:10">
      <c r="A22" s="18" t="s">
        <v>41</v>
      </c>
      <c r="B22" s="18">
        <v>40</v>
      </c>
      <c r="C22" s="18" t="s">
        <v>43</v>
      </c>
      <c r="D22" s="18" t="s">
        <v>20</v>
      </c>
      <c r="E22" s="18">
        <v>9.38</v>
      </c>
      <c r="F22" s="19"/>
      <c r="G22" s="20">
        <f t="shared" si="0"/>
        <v>0</v>
      </c>
      <c r="J22" s="17"/>
    </row>
    <row r="23" s="2" customFormat="1" spans="1:10">
      <c r="A23" s="18" t="s">
        <v>41</v>
      </c>
      <c r="B23" s="18">
        <v>40</v>
      </c>
      <c r="C23" s="18" t="s">
        <v>47</v>
      </c>
      <c r="D23" s="18" t="s">
        <v>16</v>
      </c>
      <c r="E23" s="18">
        <v>8.7745</v>
      </c>
      <c r="F23" s="19">
        <f>_xlfn.STDEV.S(E23:E25)</f>
        <v>0.355883056635182</v>
      </c>
      <c r="G23" s="20">
        <f t="shared" si="0"/>
        <v>0.12665275</v>
      </c>
      <c r="J23" s="17"/>
    </row>
    <row r="24" s="2" customFormat="1" spans="1:10">
      <c r="A24" s="18" t="s">
        <v>41</v>
      </c>
      <c r="B24" s="18">
        <v>40</v>
      </c>
      <c r="C24" s="18" t="s">
        <v>47</v>
      </c>
      <c r="D24" s="18" t="s">
        <v>18</v>
      </c>
      <c r="E24" s="18">
        <v>8.631</v>
      </c>
      <c r="F24" s="19"/>
      <c r="G24" s="20">
        <f t="shared" si="0"/>
        <v>0</v>
      </c>
      <c r="J24" s="17"/>
    </row>
    <row r="25" s="2" customFormat="1" spans="1:10">
      <c r="A25" s="18" t="s">
        <v>41</v>
      </c>
      <c r="B25" s="18">
        <v>40</v>
      </c>
      <c r="C25" s="18" t="s">
        <v>47</v>
      </c>
      <c r="D25" s="18" t="s">
        <v>20</v>
      </c>
      <c r="E25" s="18">
        <v>9.3065</v>
      </c>
      <c r="F25" s="19"/>
      <c r="G25" s="20">
        <f t="shared" si="0"/>
        <v>0</v>
      </c>
      <c r="J25" s="17"/>
    </row>
    <row r="26" s="2" customFormat="1" spans="1:10">
      <c r="A26" s="18" t="s">
        <v>41</v>
      </c>
      <c r="B26" s="18">
        <v>40</v>
      </c>
      <c r="C26" s="18" t="s">
        <v>51</v>
      </c>
      <c r="D26" s="18" t="s">
        <v>16</v>
      </c>
      <c r="E26" s="18">
        <v>11.69</v>
      </c>
      <c r="F26" s="19">
        <f>_xlfn.STDEV.S(E26:E28)</f>
        <v>0.270754655238527</v>
      </c>
      <c r="G26" s="20">
        <f t="shared" si="0"/>
        <v>0.0733080833333334</v>
      </c>
      <c r="J26" s="17"/>
    </row>
    <row r="27" s="2" customFormat="1" spans="1:10">
      <c r="A27" s="18" t="s">
        <v>41</v>
      </c>
      <c r="B27" s="18">
        <v>40</v>
      </c>
      <c r="C27" s="18" t="s">
        <v>51</v>
      </c>
      <c r="D27" s="18" t="s">
        <v>18</v>
      </c>
      <c r="E27" s="18">
        <v>11.5115</v>
      </c>
      <c r="F27" s="19"/>
      <c r="G27" s="20">
        <f t="shared" si="0"/>
        <v>0</v>
      </c>
      <c r="J27" s="17"/>
    </row>
    <row r="28" s="2" customFormat="1" spans="1:10">
      <c r="A28" s="18" t="s">
        <v>41</v>
      </c>
      <c r="B28" s="18">
        <v>40</v>
      </c>
      <c r="C28" s="18" t="s">
        <v>51</v>
      </c>
      <c r="D28" s="18" t="s">
        <v>20</v>
      </c>
      <c r="E28" s="18">
        <v>11.158</v>
      </c>
      <c r="F28" s="19"/>
      <c r="G28" s="20">
        <f t="shared" si="0"/>
        <v>0</v>
      </c>
      <c r="J28" s="17"/>
    </row>
    <row r="29" s="2" customFormat="1" spans="1:10">
      <c r="A29" s="18" t="s">
        <v>41</v>
      </c>
      <c r="B29" s="18">
        <v>40</v>
      </c>
      <c r="C29" s="18" t="s">
        <v>55</v>
      </c>
      <c r="D29" s="18" t="s">
        <v>16</v>
      </c>
      <c r="E29" s="18">
        <v>11.158</v>
      </c>
      <c r="F29" s="19">
        <f>_xlfn.STDEV.S(E29:E31)</f>
        <v>1.73885668855525</v>
      </c>
      <c r="G29" s="20">
        <f t="shared" si="0"/>
        <v>3.02362258333333</v>
      </c>
      <c r="J29" s="17"/>
    </row>
    <row r="30" s="2" customFormat="1" spans="1:10">
      <c r="A30" s="18" t="s">
        <v>41</v>
      </c>
      <c r="B30" s="18">
        <v>40</v>
      </c>
      <c r="C30" s="18" t="s">
        <v>55</v>
      </c>
      <c r="D30" s="18" t="s">
        <v>18</v>
      </c>
      <c r="E30" s="18">
        <v>10.731</v>
      </c>
      <c r="F30" s="19"/>
      <c r="G30" s="20">
        <f t="shared" si="0"/>
        <v>0</v>
      </c>
      <c r="J30" s="17"/>
    </row>
    <row r="31" s="2" customFormat="1" spans="1:10">
      <c r="A31" s="18" t="s">
        <v>41</v>
      </c>
      <c r="B31" s="18">
        <v>40</v>
      </c>
      <c r="C31" s="18" t="s">
        <v>55</v>
      </c>
      <c r="D31" s="18" t="s">
        <v>20</v>
      </c>
      <c r="E31" s="18">
        <v>7.9555</v>
      </c>
      <c r="F31" s="19"/>
      <c r="G31" s="20">
        <f t="shared" si="0"/>
        <v>0</v>
      </c>
      <c r="J31" s="17"/>
    </row>
    <row r="32" s="2" customFormat="1" spans="1:10">
      <c r="A32" s="18" t="s">
        <v>41</v>
      </c>
      <c r="B32" s="18">
        <v>40</v>
      </c>
      <c r="C32" s="18" t="s">
        <v>59</v>
      </c>
      <c r="D32" s="18" t="s">
        <v>16</v>
      </c>
      <c r="E32" s="18">
        <v>9.7335</v>
      </c>
      <c r="F32" s="19">
        <f>_xlfn.STDEV.S(E32:E34)</f>
        <v>0.179640149558314</v>
      </c>
      <c r="G32" s="20">
        <f t="shared" si="0"/>
        <v>0.0322705833333335</v>
      </c>
      <c r="J32" s="17"/>
    </row>
    <row r="33" s="2" customFormat="1" spans="1:10">
      <c r="A33" s="18" t="s">
        <v>41</v>
      </c>
      <c r="B33" s="18">
        <v>40</v>
      </c>
      <c r="C33" s="18" t="s">
        <v>59</v>
      </c>
      <c r="D33" s="18" t="s">
        <v>18</v>
      </c>
      <c r="E33" s="18">
        <v>9.877</v>
      </c>
      <c r="F33" s="19"/>
      <c r="G33" s="20">
        <f t="shared" si="0"/>
        <v>0</v>
      </c>
      <c r="J33" s="17"/>
    </row>
    <row r="34" s="2" customFormat="1" spans="1:10">
      <c r="A34" s="18" t="s">
        <v>41</v>
      </c>
      <c r="B34" s="18">
        <v>40</v>
      </c>
      <c r="C34" s="18" t="s">
        <v>59</v>
      </c>
      <c r="D34" s="18" t="s">
        <v>20</v>
      </c>
      <c r="E34" s="18">
        <v>10.0905</v>
      </c>
      <c r="F34" s="19"/>
      <c r="G34" s="20">
        <f t="shared" si="0"/>
        <v>0</v>
      </c>
      <c r="J34" s="17"/>
    </row>
    <row r="35" s="2" customFormat="1" spans="1:10">
      <c r="A35" s="18" t="s">
        <v>41</v>
      </c>
      <c r="B35" s="18">
        <v>40</v>
      </c>
      <c r="C35" s="18" t="s">
        <v>63</v>
      </c>
      <c r="D35" s="18" t="s">
        <v>16</v>
      </c>
      <c r="E35" s="18">
        <v>9.6285</v>
      </c>
      <c r="F35" s="19">
        <f>_xlfn.STDEV.S(E35:E37)</f>
        <v>0.178018959664414</v>
      </c>
      <c r="G35" s="20">
        <f t="shared" si="0"/>
        <v>0.0316907500000001</v>
      </c>
      <c r="J35" s="17"/>
    </row>
    <row r="36" s="2" customFormat="1" spans="1:10">
      <c r="A36" s="18" t="s">
        <v>41</v>
      </c>
      <c r="B36" s="18">
        <v>40</v>
      </c>
      <c r="C36" s="18" t="s">
        <v>63</v>
      </c>
      <c r="D36" s="18" t="s">
        <v>18</v>
      </c>
      <c r="E36" s="18">
        <v>9.7685</v>
      </c>
      <c r="F36" s="19"/>
      <c r="G36" s="20">
        <f t="shared" si="0"/>
        <v>0</v>
      </c>
      <c r="J36" s="17"/>
    </row>
    <row r="37" s="2" customFormat="1" spans="1:10">
      <c r="A37" s="18" t="s">
        <v>41</v>
      </c>
      <c r="B37" s="18">
        <v>40</v>
      </c>
      <c r="C37" s="18" t="s">
        <v>63</v>
      </c>
      <c r="D37" s="18" t="s">
        <v>20</v>
      </c>
      <c r="E37" s="18">
        <v>9.415</v>
      </c>
      <c r="F37" s="19"/>
      <c r="G37" s="20">
        <f t="shared" si="0"/>
        <v>0</v>
      </c>
      <c r="J37" s="17"/>
    </row>
    <row r="38" s="2" customFormat="1" spans="1:10">
      <c r="A38" s="18" t="s">
        <v>41</v>
      </c>
      <c r="B38" s="18">
        <v>40</v>
      </c>
      <c r="C38" s="18" t="s">
        <v>67</v>
      </c>
      <c r="D38" s="18" t="s">
        <v>16</v>
      </c>
      <c r="E38" s="18">
        <v>9.9855</v>
      </c>
      <c r="F38" s="19">
        <f>_xlfn.STDEV.S(E38:E40)</f>
        <v>0.163828416338558</v>
      </c>
      <c r="G38" s="20">
        <f t="shared" si="0"/>
        <v>0.0268397499999999</v>
      </c>
      <c r="J38" s="17"/>
    </row>
    <row r="39" s="2" customFormat="1" spans="1:10">
      <c r="A39" s="18" t="s">
        <v>41</v>
      </c>
      <c r="B39" s="18">
        <v>40</v>
      </c>
      <c r="C39" s="18" t="s">
        <v>67</v>
      </c>
      <c r="D39" s="18" t="s">
        <v>18</v>
      </c>
      <c r="E39" s="18">
        <v>10.199</v>
      </c>
      <c r="F39" s="19"/>
      <c r="G39" s="20">
        <f t="shared" si="0"/>
        <v>0</v>
      </c>
      <c r="J39" s="17"/>
    </row>
    <row r="40" s="2" customFormat="1" spans="1:10">
      <c r="A40" s="18" t="s">
        <v>41</v>
      </c>
      <c r="B40" s="18">
        <v>40</v>
      </c>
      <c r="C40" s="18" t="s">
        <v>67</v>
      </c>
      <c r="D40" s="18" t="s">
        <v>20</v>
      </c>
      <c r="E40" s="18">
        <v>10.3075</v>
      </c>
      <c r="F40" s="19"/>
      <c r="G40" s="20">
        <f t="shared" si="0"/>
        <v>0</v>
      </c>
      <c r="J40" s="17"/>
    </row>
    <row r="41" s="3" customFormat="1" spans="1:10">
      <c r="A41" s="21" t="s">
        <v>70</v>
      </c>
      <c r="B41" s="21">
        <v>40</v>
      </c>
      <c r="C41" s="21" t="s">
        <v>72</v>
      </c>
      <c r="D41" s="21" t="s">
        <v>16</v>
      </c>
      <c r="E41" s="21">
        <v>7.875</v>
      </c>
      <c r="F41" s="22">
        <f>_xlfn.STDEV.S(E41:E43)</f>
        <v>0.390000106837592</v>
      </c>
      <c r="G41" s="23">
        <f t="shared" si="0"/>
        <v>0.152100083333333</v>
      </c>
      <c r="H41" s="3">
        <f>AVERAGE(G41:G59)</f>
        <v>0.149812127192982</v>
      </c>
      <c r="I41" s="70" t="s">
        <v>329</v>
      </c>
      <c r="J41" s="17"/>
    </row>
    <row r="42" s="3" customFormat="1" spans="1:10">
      <c r="A42" s="21" t="s">
        <v>70</v>
      </c>
      <c r="B42" s="21">
        <v>40</v>
      </c>
      <c r="C42" s="21" t="s">
        <v>72</v>
      </c>
      <c r="D42" s="21" t="s">
        <v>18</v>
      </c>
      <c r="E42" s="21">
        <v>7.875</v>
      </c>
      <c r="F42" s="22"/>
      <c r="G42" s="23">
        <f t="shared" si="0"/>
        <v>0</v>
      </c>
      <c r="J42" s="17"/>
    </row>
    <row r="43" s="3" customFormat="1" spans="1:10">
      <c r="A43" s="21" t="s">
        <v>70</v>
      </c>
      <c r="B43" s="21">
        <v>40</v>
      </c>
      <c r="C43" s="21" t="s">
        <v>72</v>
      </c>
      <c r="D43" s="21" t="s">
        <v>20</v>
      </c>
      <c r="E43" s="21">
        <v>8.5505</v>
      </c>
      <c r="F43" s="22"/>
      <c r="G43" s="23">
        <f t="shared" si="0"/>
        <v>0</v>
      </c>
      <c r="J43" s="17"/>
    </row>
    <row r="44" s="3" customFormat="1" spans="1:10">
      <c r="A44" s="21" t="s">
        <v>70</v>
      </c>
      <c r="B44" s="21">
        <v>40</v>
      </c>
      <c r="C44" s="21" t="s">
        <v>76</v>
      </c>
      <c r="D44" s="21" t="s">
        <v>16</v>
      </c>
      <c r="E44" s="21">
        <v>9.226</v>
      </c>
      <c r="F44" s="22">
        <f>_xlfn.STDEV.S(E44:E46)</f>
        <v>0.686654449729508</v>
      </c>
      <c r="G44" s="23">
        <f t="shared" si="0"/>
        <v>0.471494333333334</v>
      </c>
      <c r="J44" s="17"/>
    </row>
    <row r="45" s="3" customFormat="1" spans="1:10">
      <c r="A45" s="21" t="s">
        <v>70</v>
      </c>
      <c r="B45" s="21">
        <v>40</v>
      </c>
      <c r="C45" s="21" t="s">
        <v>76</v>
      </c>
      <c r="D45" s="21" t="s">
        <v>18</v>
      </c>
      <c r="E45" s="21">
        <v>8.764</v>
      </c>
      <c r="F45" s="22"/>
      <c r="G45" s="23">
        <f t="shared" si="0"/>
        <v>0</v>
      </c>
      <c r="J45" s="17"/>
    </row>
    <row r="46" s="3" customFormat="1" spans="1:10">
      <c r="A46" s="21" t="s">
        <v>70</v>
      </c>
      <c r="B46" s="21">
        <v>40</v>
      </c>
      <c r="C46" s="21" t="s">
        <v>76</v>
      </c>
      <c r="D46" s="21" t="s">
        <v>20</v>
      </c>
      <c r="E46" s="21">
        <v>7.875</v>
      </c>
      <c r="F46" s="22"/>
      <c r="G46" s="23">
        <f t="shared" si="0"/>
        <v>0</v>
      </c>
      <c r="J46" s="17"/>
    </row>
    <row r="47" s="3" customFormat="1" spans="1:10">
      <c r="A47" s="21" t="s">
        <v>70</v>
      </c>
      <c r="B47" s="21">
        <v>40</v>
      </c>
      <c r="C47" s="21" t="s">
        <v>80</v>
      </c>
      <c r="D47" s="21" t="s">
        <v>16</v>
      </c>
      <c r="E47" s="21">
        <v>8.1585</v>
      </c>
      <c r="F47" s="22">
        <f>_xlfn.STDEV.S(E47:E49)</f>
        <v>1.07920954869756</v>
      </c>
      <c r="G47" s="23">
        <f t="shared" si="0"/>
        <v>1.16469325</v>
      </c>
      <c r="J47" s="17"/>
    </row>
    <row r="48" s="3" customFormat="1" spans="1:10">
      <c r="A48" s="21" t="s">
        <v>70</v>
      </c>
      <c r="B48" s="21">
        <v>40</v>
      </c>
      <c r="C48" s="21" t="s">
        <v>80</v>
      </c>
      <c r="D48" s="21" t="s">
        <v>18</v>
      </c>
      <c r="E48" s="21">
        <v>6.272</v>
      </c>
      <c r="F48" s="22"/>
      <c r="G48" s="23">
        <f t="shared" si="0"/>
        <v>0</v>
      </c>
      <c r="J48" s="17"/>
    </row>
    <row r="49" s="3" customFormat="1" spans="1:10">
      <c r="A49" s="21" t="s">
        <v>70</v>
      </c>
      <c r="B49" s="21">
        <v>40</v>
      </c>
      <c r="C49" s="21" t="s">
        <v>80</v>
      </c>
      <c r="D49" s="21" t="s">
        <v>20</v>
      </c>
      <c r="E49" s="21">
        <v>8.1235</v>
      </c>
      <c r="F49" s="22"/>
      <c r="G49" s="23">
        <f t="shared" si="0"/>
        <v>0</v>
      </c>
      <c r="J49" s="17"/>
    </row>
    <row r="50" s="3" customFormat="1" spans="1:10">
      <c r="A50" s="21" t="s">
        <v>70</v>
      </c>
      <c r="B50" s="21">
        <v>40</v>
      </c>
      <c r="C50" s="21" t="s">
        <v>84</v>
      </c>
      <c r="D50" s="21" t="s">
        <v>16</v>
      </c>
      <c r="E50" s="21">
        <v>8.6905</v>
      </c>
      <c r="F50" s="22">
        <f>_xlfn.STDEV.S(E50:E52)</f>
        <v>0.251764936663812</v>
      </c>
      <c r="G50" s="23">
        <f t="shared" si="0"/>
        <v>0.0633855833333333</v>
      </c>
      <c r="J50" s="17"/>
    </row>
    <row r="51" s="3" customFormat="1" spans="1:10">
      <c r="A51" s="21" t="s">
        <v>70</v>
      </c>
      <c r="B51" s="21">
        <v>40</v>
      </c>
      <c r="C51" s="21" t="s">
        <v>84</v>
      </c>
      <c r="D51" s="21" t="s">
        <v>18</v>
      </c>
      <c r="E51" s="21">
        <v>8.372</v>
      </c>
      <c r="F51" s="22"/>
      <c r="G51" s="23">
        <f t="shared" si="0"/>
        <v>0</v>
      </c>
      <c r="J51" s="17"/>
    </row>
    <row r="52" s="3" customFormat="1" spans="1:10">
      <c r="A52" s="21" t="s">
        <v>70</v>
      </c>
      <c r="B52" s="21">
        <v>40</v>
      </c>
      <c r="C52" s="21" t="s">
        <v>84</v>
      </c>
      <c r="D52" s="21" t="s">
        <v>20</v>
      </c>
      <c r="E52" s="21">
        <v>8.869</v>
      </c>
      <c r="F52" s="22"/>
      <c r="G52" s="23">
        <f t="shared" si="0"/>
        <v>0</v>
      </c>
      <c r="J52" s="17"/>
    </row>
    <row r="53" s="3" customFormat="1" spans="1:10">
      <c r="A53" s="21" t="s">
        <v>70</v>
      </c>
      <c r="B53" s="21">
        <v>40</v>
      </c>
      <c r="C53" s="21" t="s">
        <v>88</v>
      </c>
      <c r="D53" s="21" t="s">
        <v>16</v>
      </c>
      <c r="E53" s="21">
        <v>8.2285</v>
      </c>
      <c r="F53" s="22">
        <f>_xlfn.STDEV.S(E53:E55)</f>
        <v>0.391567469707754</v>
      </c>
      <c r="G53" s="23">
        <f t="shared" si="0"/>
        <v>0.153325083333333</v>
      </c>
      <c r="J53" s="17"/>
    </row>
    <row r="54" s="3" customFormat="1" spans="1:10">
      <c r="A54" s="21" t="s">
        <v>70</v>
      </c>
      <c r="B54" s="21">
        <v>40</v>
      </c>
      <c r="C54" s="21" t="s">
        <v>88</v>
      </c>
      <c r="D54" s="21" t="s">
        <v>18</v>
      </c>
      <c r="E54" s="21">
        <v>8.869</v>
      </c>
      <c r="F54" s="22"/>
      <c r="G54" s="23">
        <f t="shared" si="0"/>
        <v>0</v>
      </c>
      <c r="J54" s="17"/>
    </row>
    <row r="55" s="3" customFormat="1" spans="1:10">
      <c r="A55" s="21" t="s">
        <v>70</v>
      </c>
      <c r="B55" s="21">
        <v>40</v>
      </c>
      <c r="C55" s="21" t="s">
        <v>88</v>
      </c>
      <c r="D55" s="21" t="s">
        <v>20</v>
      </c>
      <c r="E55" s="21">
        <v>8.1585</v>
      </c>
      <c r="F55" s="22"/>
      <c r="G55" s="23">
        <f t="shared" si="0"/>
        <v>0</v>
      </c>
      <c r="J55" s="17"/>
    </row>
    <row r="56" s="3" customFormat="1" spans="1:10">
      <c r="A56" s="21" t="s">
        <v>70</v>
      </c>
      <c r="B56" s="21">
        <v>40</v>
      </c>
      <c r="C56" s="21" t="s">
        <v>92</v>
      </c>
      <c r="D56" s="21" t="s">
        <v>16</v>
      </c>
      <c r="E56" s="21">
        <v>8.1585</v>
      </c>
      <c r="F56" s="22">
        <f>_xlfn.STDEV.S(E56:E58)</f>
        <v>0.887676179696177</v>
      </c>
      <c r="G56" s="23">
        <f t="shared" si="0"/>
        <v>0.787969</v>
      </c>
      <c r="J56" s="17"/>
    </row>
    <row r="57" s="3" customFormat="1" spans="1:10">
      <c r="A57" s="21" t="s">
        <v>70</v>
      </c>
      <c r="B57" s="21">
        <v>40</v>
      </c>
      <c r="C57" s="21" t="s">
        <v>92</v>
      </c>
      <c r="D57" s="21" t="s">
        <v>18</v>
      </c>
      <c r="E57" s="21">
        <v>9.5095</v>
      </c>
      <c r="F57" s="22"/>
      <c r="G57" s="23">
        <f t="shared" si="0"/>
        <v>0</v>
      </c>
      <c r="J57" s="17"/>
    </row>
    <row r="58" s="3" customFormat="1" spans="1:10">
      <c r="A58" s="21" t="s">
        <v>70</v>
      </c>
      <c r="B58" s="21">
        <v>40</v>
      </c>
      <c r="C58" s="21" t="s">
        <v>92</v>
      </c>
      <c r="D58" s="21" t="s">
        <v>20</v>
      </c>
      <c r="E58" s="21">
        <v>9.8315</v>
      </c>
      <c r="F58" s="22"/>
      <c r="G58" s="23">
        <f t="shared" si="0"/>
        <v>0</v>
      </c>
      <c r="J58" s="17"/>
    </row>
    <row r="59" s="3" customFormat="1" spans="1:10">
      <c r="A59" s="21" t="s">
        <v>70</v>
      </c>
      <c r="B59" s="21">
        <v>40</v>
      </c>
      <c r="C59" s="21" t="s">
        <v>96</v>
      </c>
      <c r="D59" s="21" t="s">
        <v>16</v>
      </c>
      <c r="E59" s="21">
        <v>8.372</v>
      </c>
      <c r="F59" s="22">
        <f>_xlfn.STDEV.S(E59:E61)</f>
        <v>0.231220854019124</v>
      </c>
      <c r="G59" s="23">
        <f t="shared" si="0"/>
        <v>0.0534630833333333</v>
      </c>
      <c r="J59" s="17"/>
    </row>
    <row r="60" s="3" customFormat="1" spans="1:10">
      <c r="A60" s="21" t="s">
        <v>70</v>
      </c>
      <c r="B60" s="21">
        <v>40</v>
      </c>
      <c r="C60" s="21" t="s">
        <v>96</v>
      </c>
      <c r="D60" s="21" t="s">
        <v>18</v>
      </c>
      <c r="E60" s="21">
        <v>8.6205</v>
      </c>
      <c r="F60" s="22"/>
      <c r="G60" s="23">
        <f t="shared" si="0"/>
        <v>0</v>
      </c>
      <c r="J60" s="17"/>
    </row>
    <row r="61" s="3" customFormat="1" spans="1:10">
      <c r="A61" s="21" t="s">
        <v>70</v>
      </c>
      <c r="B61" s="21">
        <v>40</v>
      </c>
      <c r="C61" s="21" t="s">
        <v>96</v>
      </c>
      <c r="D61" s="21" t="s">
        <v>20</v>
      </c>
      <c r="E61" s="21">
        <v>8.834</v>
      </c>
      <c r="F61" s="22"/>
      <c r="G61" s="23">
        <f t="shared" si="0"/>
        <v>0</v>
      </c>
      <c r="J61" s="17"/>
    </row>
    <row r="62" s="4" customFormat="1" spans="1:10">
      <c r="A62" s="24" t="s">
        <v>13</v>
      </c>
      <c r="B62" s="24">
        <v>30</v>
      </c>
      <c r="C62" s="24" t="s">
        <v>100</v>
      </c>
      <c r="D62" s="24" t="s">
        <v>16</v>
      </c>
      <c r="E62" s="24">
        <v>12.425</v>
      </c>
      <c r="F62" s="25">
        <f>_xlfn.STDEV.S(E62:E64)</f>
        <v>0.437350641171741</v>
      </c>
      <c r="G62" s="26">
        <f t="shared" si="0"/>
        <v>0.191275583333333</v>
      </c>
      <c r="H62" s="4">
        <f>AVERAGE(G62:G77)</f>
        <v>0.037896140625</v>
      </c>
      <c r="I62" s="71" t="s">
        <v>344</v>
      </c>
      <c r="J62" s="17"/>
    </row>
    <row r="63" s="4" customFormat="1" spans="1:10">
      <c r="A63" s="24" t="s">
        <v>13</v>
      </c>
      <c r="B63" s="24">
        <v>30</v>
      </c>
      <c r="C63" s="24" t="s">
        <v>100</v>
      </c>
      <c r="D63" s="24" t="s">
        <v>18</v>
      </c>
      <c r="E63" s="24">
        <v>12.5685</v>
      </c>
      <c r="F63" s="25"/>
      <c r="G63" s="26">
        <f t="shared" si="0"/>
        <v>0</v>
      </c>
      <c r="J63" s="17"/>
    </row>
    <row r="64" s="4" customFormat="1" spans="1:10">
      <c r="A64" s="24" t="s">
        <v>13</v>
      </c>
      <c r="B64" s="24">
        <v>30</v>
      </c>
      <c r="C64" s="24" t="s">
        <v>100</v>
      </c>
      <c r="D64" s="24" t="s">
        <v>20</v>
      </c>
      <c r="E64" s="24">
        <v>13.244</v>
      </c>
      <c r="F64" s="25"/>
      <c r="G64" s="26">
        <f t="shared" si="0"/>
        <v>0</v>
      </c>
      <c r="J64" s="17"/>
    </row>
    <row r="65" s="4" customFormat="1" spans="1:10">
      <c r="A65" s="24" t="s">
        <v>13</v>
      </c>
      <c r="B65" s="24">
        <v>30</v>
      </c>
      <c r="C65" s="24" t="s">
        <v>104</v>
      </c>
      <c r="D65" s="24" t="s">
        <v>16</v>
      </c>
      <c r="E65" s="24">
        <v>12.5335</v>
      </c>
      <c r="F65" s="25">
        <f>_xlfn.STDEV.S(E65:E67)</f>
        <v>0.419474671464202</v>
      </c>
      <c r="G65" s="26">
        <f t="shared" si="0"/>
        <v>0.175959</v>
      </c>
      <c r="J65" s="17"/>
    </row>
    <row r="66" s="4" customFormat="1" spans="1:10">
      <c r="A66" s="24" t="s">
        <v>13</v>
      </c>
      <c r="B66" s="24">
        <v>30</v>
      </c>
      <c r="C66" s="24" t="s">
        <v>104</v>
      </c>
      <c r="D66" s="24" t="s">
        <v>18</v>
      </c>
      <c r="E66" s="24">
        <v>13.1005</v>
      </c>
      <c r="F66" s="25"/>
      <c r="G66" s="26">
        <f t="shared" si="0"/>
        <v>0</v>
      </c>
      <c r="J66" s="17"/>
    </row>
    <row r="67" s="4" customFormat="1" spans="1:10">
      <c r="A67" s="24" t="s">
        <v>13</v>
      </c>
      <c r="B67" s="24">
        <v>30</v>
      </c>
      <c r="C67" s="24" t="s">
        <v>104</v>
      </c>
      <c r="D67" s="24" t="s">
        <v>20</v>
      </c>
      <c r="E67" s="24">
        <v>12.2815</v>
      </c>
      <c r="F67" s="25"/>
      <c r="G67" s="26">
        <f t="shared" ref="G67:G130" si="1">F67^2</f>
        <v>0</v>
      </c>
      <c r="J67" s="17"/>
    </row>
    <row r="68" s="4" customFormat="1" spans="1:10">
      <c r="A68" s="24" t="s">
        <v>13</v>
      </c>
      <c r="B68" s="24">
        <v>30</v>
      </c>
      <c r="C68" s="24" t="s">
        <v>108</v>
      </c>
      <c r="D68" s="24" t="s">
        <v>16</v>
      </c>
      <c r="E68" s="24">
        <v>12.782</v>
      </c>
      <c r="F68" s="25">
        <f>_xlfn.STDEV.S(E68:E70)</f>
        <v>0.0717571134685147</v>
      </c>
      <c r="G68" s="26">
        <f t="shared" si="1"/>
        <v>0.0051490833333333</v>
      </c>
      <c r="J68" s="17"/>
    </row>
    <row r="69" s="4" customFormat="1" spans="1:10">
      <c r="A69" s="24" t="s">
        <v>13</v>
      </c>
      <c r="B69" s="24">
        <v>30</v>
      </c>
      <c r="C69" s="24" t="s">
        <v>108</v>
      </c>
      <c r="D69" s="24" t="s">
        <v>18</v>
      </c>
      <c r="E69" s="24">
        <v>12.7085</v>
      </c>
      <c r="F69" s="25"/>
      <c r="G69" s="26">
        <f t="shared" si="1"/>
        <v>0</v>
      </c>
      <c r="J69" s="17"/>
    </row>
    <row r="70" s="4" customFormat="1" spans="1:10">
      <c r="A70" s="24" t="s">
        <v>13</v>
      </c>
      <c r="B70" s="24">
        <v>30</v>
      </c>
      <c r="C70" s="24" t="s">
        <v>108</v>
      </c>
      <c r="D70" s="24" t="s">
        <v>20</v>
      </c>
      <c r="E70" s="24">
        <v>12.6385</v>
      </c>
      <c r="F70" s="25"/>
      <c r="G70" s="26">
        <f t="shared" si="1"/>
        <v>0</v>
      </c>
      <c r="J70" s="17"/>
    </row>
    <row r="71" s="4" customFormat="1" spans="1:10">
      <c r="A71" s="24" t="s">
        <v>13</v>
      </c>
      <c r="B71" s="24">
        <v>30</v>
      </c>
      <c r="C71" s="24" t="s">
        <v>112</v>
      </c>
      <c r="D71" s="24" t="s">
        <v>16</v>
      </c>
      <c r="E71" s="24">
        <v>12.39</v>
      </c>
      <c r="F71" s="25">
        <f>_xlfn.STDEV.S(E71:E73)</f>
        <v>0.450413421203232</v>
      </c>
      <c r="G71" s="26">
        <f t="shared" si="1"/>
        <v>0.20287225</v>
      </c>
      <c r="J71" s="17"/>
    </row>
    <row r="72" s="4" customFormat="1" spans="1:10">
      <c r="A72" s="24" t="s">
        <v>13</v>
      </c>
      <c r="B72" s="24">
        <v>30</v>
      </c>
      <c r="C72" s="24" t="s">
        <v>112</v>
      </c>
      <c r="D72" s="24" t="s">
        <v>18</v>
      </c>
      <c r="E72" s="24">
        <v>13.279</v>
      </c>
      <c r="F72" s="25"/>
      <c r="G72" s="26">
        <f t="shared" si="1"/>
        <v>0</v>
      </c>
      <c r="J72" s="17"/>
    </row>
    <row r="73" s="4" customFormat="1" spans="1:10">
      <c r="A73" s="24" t="s">
        <v>13</v>
      </c>
      <c r="B73" s="24">
        <v>30</v>
      </c>
      <c r="C73" s="24" t="s">
        <v>112</v>
      </c>
      <c r="D73" s="24" t="s">
        <v>20</v>
      </c>
      <c r="E73" s="24">
        <v>12.7085</v>
      </c>
      <c r="F73" s="25"/>
      <c r="G73" s="26">
        <f t="shared" si="1"/>
        <v>0</v>
      </c>
      <c r="J73" s="17"/>
    </row>
    <row r="74" s="4" customFormat="1" spans="1:10">
      <c r="A74" s="24" t="s">
        <v>13</v>
      </c>
      <c r="B74" s="24">
        <v>30</v>
      </c>
      <c r="C74" s="24" t="s">
        <v>116</v>
      </c>
      <c r="D74" s="24" t="s">
        <v>16</v>
      </c>
      <c r="E74" s="24">
        <v>12.355</v>
      </c>
      <c r="F74" s="25">
        <f>_xlfn.STDEV.S(E74:E76)</f>
        <v>0.124582302113904</v>
      </c>
      <c r="G74" s="26">
        <f t="shared" si="1"/>
        <v>0.01552075</v>
      </c>
      <c r="J74" s="17"/>
    </row>
    <row r="75" s="4" customFormat="1" spans="1:10">
      <c r="A75" s="24" t="s">
        <v>13</v>
      </c>
      <c r="B75" s="24">
        <v>30</v>
      </c>
      <c r="C75" s="24" t="s">
        <v>116</v>
      </c>
      <c r="D75" s="24" t="s">
        <v>18</v>
      </c>
      <c r="E75" s="24">
        <v>12.495</v>
      </c>
      <c r="F75" s="25"/>
      <c r="G75" s="26">
        <f t="shared" si="1"/>
        <v>0</v>
      </c>
      <c r="J75" s="17"/>
    </row>
    <row r="76" s="4" customFormat="1" spans="1:10">
      <c r="A76" s="24" t="s">
        <v>13</v>
      </c>
      <c r="B76" s="24">
        <v>30</v>
      </c>
      <c r="C76" s="24" t="s">
        <v>116</v>
      </c>
      <c r="D76" s="24" t="s">
        <v>20</v>
      </c>
      <c r="E76" s="24">
        <v>12.2465</v>
      </c>
      <c r="F76" s="25"/>
      <c r="G76" s="26">
        <f t="shared" si="1"/>
        <v>0</v>
      </c>
      <c r="J76" s="17"/>
    </row>
    <row r="77" s="4" customFormat="1" spans="1:10">
      <c r="A77" s="24" t="s">
        <v>13</v>
      </c>
      <c r="B77" s="24">
        <v>30</v>
      </c>
      <c r="C77" s="24" t="s">
        <v>120</v>
      </c>
      <c r="D77" s="24" t="s">
        <v>16</v>
      </c>
      <c r="E77" s="24">
        <v>12.355</v>
      </c>
      <c r="F77" s="25">
        <f>_xlfn.STDEV.S(E77:E79)</f>
        <v>0.124746075422569</v>
      </c>
      <c r="G77" s="26">
        <f t="shared" si="1"/>
        <v>0.0155615833333333</v>
      </c>
      <c r="J77" s="17"/>
    </row>
    <row r="78" s="4" customFormat="1" spans="1:10">
      <c r="A78" s="24" t="s">
        <v>13</v>
      </c>
      <c r="B78" s="24">
        <v>30</v>
      </c>
      <c r="C78" s="24" t="s">
        <v>120</v>
      </c>
      <c r="D78" s="24" t="s">
        <v>18</v>
      </c>
      <c r="E78" s="24">
        <v>12.2115</v>
      </c>
      <c r="F78" s="25"/>
      <c r="G78" s="26">
        <f t="shared" si="1"/>
        <v>0</v>
      </c>
      <c r="J78" s="17"/>
    </row>
    <row r="79" s="4" customFormat="1" spans="1:10">
      <c r="A79" s="24" t="s">
        <v>13</v>
      </c>
      <c r="B79" s="24">
        <v>30</v>
      </c>
      <c r="C79" s="24" t="s">
        <v>120</v>
      </c>
      <c r="D79" s="24" t="s">
        <v>20</v>
      </c>
      <c r="E79" s="24">
        <v>12.1065</v>
      </c>
      <c r="F79" s="25"/>
      <c r="G79" s="26">
        <f t="shared" si="1"/>
        <v>0</v>
      </c>
      <c r="J79" s="17"/>
    </row>
    <row r="80" s="5" customFormat="1" spans="1:10">
      <c r="A80" s="27" t="s">
        <v>41</v>
      </c>
      <c r="B80" s="27">
        <v>30</v>
      </c>
      <c r="C80" s="27" t="s">
        <v>124</v>
      </c>
      <c r="D80" s="27" t="s">
        <v>16</v>
      </c>
      <c r="E80" s="27">
        <v>12.439</v>
      </c>
      <c r="F80" s="28">
        <f>_xlfn.STDEV.S(E80:E82)</f>
        <v>0.189172760547953</v>
      </c>
      <c r="G80" s="29">
        <f t="shared" si="1"/>
        <v>0.0357863333333333</v>
      </c>
      <c r="H80" s="5">
        <f>AVERAGE(G80:G95)</f>
        <v>0.0273501666666666</v>
      </c>
      <c r="I80" s="72" t="s">
        <v>336</v>
      </c>
      <c r="J80" s="17"/>
    </row>
    <row r="81" s="5" customFormat="1" spans="1:10">
      <c r="A81" s="27" t="s">
        <v>41</v>
      </c>
      <c r="B81" s="27">
        <v>30</v>
      </c>
      <c r="C81" s="27" t="s">
        <v>124</v>
      </c>
      <c r="D81" s="27" t="s">
        <v>18</v>
      </c>
      <c r="E81" s="27">
        <v>12.082</v>
      </c>
      <c r="F81" s="28"/>
      <c r="G81" s="29">
        <f t="shared" si="1"/>
        <v>0</v>
      </c>
      <c r="J81" s="17"/>
    </row>
    <row r="82" s="5" customFormat="1" spans="1:10">
      <c r="A82" s="27" t="s">
        <v>41</v>
      </c>
      <c r="B82" s="27">
        <v>30</v>
      </c>
      <c r="C82" s="27" t="s">
        <v>124</v>
      </c>
      <c r="D82" s="27" t="s">
        <v>20</v>
      </c>
      <c r="E82" s="27">
        <v>12.152</v>
      </c>
      <c r="F82" s="28"/>
      <c r="G82" s="29">
        <f t="shared" si="1"/>
        <v>0</v>
      </c>
      <c r="J82" s="17"/>
    </row>
    <row r="83" s="5" customFormat="1" spans="1:10">
      <c r="A83" s="27" t="s">
        <v>41</v>
      </c>
      <c r="B83" s="27">
        <v>30</v>
      </c>
      <c r="C83" s="27" t="s">
        <v>128</v>
      </c>
      <c r="D83" s="27" t="s">
        <v>16</v>
      </c>
      <c r="E83" s="27">
        <v>12.2605</v>
      </c>
      <c r="F83" s="28">
        <f>_xlfn.STDEV.S(E83:E85)</f>
        <v>0.286943083787244</v>
      </c>
      <c r="G83" s="29">
        <f t="shared" si="1"/>
        <v>0.0823363333333333</v>
      </c>
      <c r="J83" s="17"/>
    </row>
    <row r="84" s="5" customFormat="1" spans="1:10">
      <c r="A84" s="27" t="s">
        <v>41</v>
      </c>
      <c r="B84" s="27">
        <v>30</v>
      </c>
      <c r="C84" s="27" t="s">
        <v>128</v>
      </c>
      <c r="D84" s="27" t="s">
        <v>18</v>
      </c>
      <c r="E84" s="27">
        <v>11.7635</v>
      </c>
      <c r="F84" s="28"/>
      <c r="G84" s="29">
        <f t="shared" si="1"/>
        <v>0</v>
      </c>
      <c r="J84" s="17"/>
    </row>
    <row r="85" s="5" customFormat="1" spans="1:10">
      <c r="A85" s="27" t="s">
        <v>41</v>
      </c>
      <c r="B85" s="27">
        <v>30</v>
      </c>
      <c r="C85" s="27" t="s">
        <v>128</v>
      </c>
      <c r="D85" s="27" t="s">
        <v>20</v>
      </c>
      <c r="E85" s="27">
        <v>11.7635</v>
      </c>
      <c r="F85" s="28"/>
      <c r="G85" s="29">
        <f t="shared" si="1"/>
        <v>0</v>
      </c>
      <c r="J85" s="17"/>
    </row>
    <row r="86" s="5" customFormat="1" spans="1:10">
      <c r="A86" s="27" t="s">
        <v>41</v>
      </c>
      <c r="B86" s="27">
        <v>30</v>
      </c>
      <c r="C86" s="27" t="s">
        <v>132</v>
      </c>
      <c r="D86" s="27" t="s">
        <v>16</v>
      </c>
      <c r="E86" s="27">
        <v>11.3365</v>
      </c>
      <c r="F86" s="28">
        <f>_xlfn.STDEV.S(E86:E88)</f>
        <v>0.290338308415086</v>
      </c>
      <c r="G86" s="29">
        <f t="shared" si="1"/>
        <v>0.0842963333333333</v>
      </c>
      <c r="J86" s="17"/>
    </row>
    <row r="87" s="5" customFormat="1" spans="1:10">
      <c r="A87" s="27" t="s">
        <v>41</v>
      </c>
      <c r="B87" s="27">
        <v>30</v>
      </c>
      <c r="C87" s="27" t="s">
        <v>132</v>
      </c>
      <c r="D87" s="27" t="s">
        <v>18</v>
      </c>
      <c r="E87" s="27">
        <v>11.5115</v>
      </c>
      <c r="F87" s="28"/>
      <c r="G87" s="29">
        <f t="shared" si="1"/>
        <v>0</v>
      </c>
      <c r="J87" s="17"/>
    </row>
    <row r="88" s="5" customFormat="1" spans="1:10">
      <c r="A88" s="27" t="s">
        <v>41</v>
      </c>
      <c r="B88" s="27">
        <v>30</v>
      </c>
      <c r="C88" s="27" t="s">
        <v>132</v>
      </c>
      <c r="D88" s="27" t="s">
        <v>20</v>
      </c>
      <c r="E88" s="27">
        <v>11.9035</v>
      </c>
      <c r="F88" s="28"/>
      <c r="G88" s="29">
        <f t="shared" si="1"/>
        <v>0</v>
      </c>
      <c r="J88" s="17"/>
    </row>
    <row r="89" s="5" customFormat="1" spans="1:10">
      <c r="A89" s="27" t="s">
        <v>41</v>
      </c>
      <c r="B89" s="27">
        <v>30</v>
      </c>
      <c r="C89" s="27" t="s">
        <v>136</v>
      </c>
      <c r="D89" s="27" t="s">
        <v>16</v>
      </c>
      <c r="E89" s="27">
        <v>12.6525</v>
      </c>
      <c r="F89" s="28">
        <f>_xlfn.STDEV.S(E89:E91)</f>
        <v>0.410620262529749</v>
      </c>
      <c r="G89" s="29">
        <f t="shared" si="1"/>
        <v>0.168609</v>
      </c>
      <c r="J89" s="17"/>
    </row>
    <row r="90" s="5" customFormat="1" spans="1:10">
      <c r="A90" s="27" t="s">
        <v>41</v>
      </c>
      <c r="B90" s="27">
        <v>30</v>
      </c>
      <c r="C90" s="27" t="s">
        <v>136</v>
      </c>
      <c r="D90" s="27" t="s">
        <v>18</v>
      </c>
      <c r="E90" s="27">
        <v>12.1905</v>
      </c>
      <c r="F90" s="28"/>
      <c r="G90" s="29">
        <f t="shared" si="1"/>
        <v>0</v>
      </c>
      <c r="J90" s="17"/>
    </row>
    <row r="91" s="5" customFormat="1" spans="1:10">
      <c r="A91" s="27" t="s">
        <v>41</v>
      </c>
      <c r="B91" s="27">
        <v>30</v>
      </c>
      <c r="C91" s="27" t="s">
        <v>136</v>
      </c>
      <c r="D91" s="27" t="s">
        <v>20</v>
      </c>
      <c r="E91" s="27">
        <v>11.8335</v>
      </c>
      <c r="F91" s="28"/>
      <c r="G91" s="29">
        <f t="shared" si="1"/>
        <v>0</v>
      </c>
      <c r="J91" s="17"/>
    </row>
    <row r="92" s="5" customFormat="1" spans="1:10">
      <c r="A92" s="27" t="s">
        <v>41</v>
      </c>
      <c r="B92" s="27">
        <v>30</v>
      </c>
      <c r="C92" s="27" t="s">
        <v>140</v>
      </c>
      <c r="D92" s="27" t="s">
        <v>16</v>
      </c>
      <c r="E92" s="27">
        <v>11.69</v>
      </c>
      <c r="F92" s="28">
        <f>_xlfn.STDEV.S(E92:E94)</f>
        <v>0.231220854019124</v>
      </c>
      <c r="G92" s="29">
        <f t="shared" si="1"/>
        <v>0.0534630833333333</v>
      </c>
      <c r="J92" s="17"/>
    </row>
    <row r="93" s="5" customFormat="1" spans="1:10">
      <c r="A93" s="27" t="s">
        <v>41</v>
      </c>
      <c r="B93" s="27">
        <v>30</v>
      </c>
      <c r="C93" s="27" t="s">
        <v>140</v>
      </c>
      <c r="D93" s="27" t="s">
        <v>18</v>
      </c>
      <c r="E93" s="27">
        <v>11.4765</v>
      </c>
      <c r="F93" s="28"/>
      <c r="G93" s="29">
        <f t="shared" si="1"/>
        <v>0</v>
      </c>
      <c r="J93" s="17"/>
    </row>
    <row r="94" s="5" customFormat="1" spans="1:10">
      <c r="A94" s="27" t="s">
        <v>41</v>
      </c>
      <c r="B94" s="27">
        <v>30</v>
      </c>
      <c r="C94" s="27" t="s">
        <v>140</v>
      </c>
      <c r="D94" s="27" t="s">
        <v>20</v>
      </c>
      <c r="E94" s="27">
        <v>11.9385</v>
      </c>
      <c r="F94" s="28"/>
      <c r="G94" s="29">
        <f t="shared" si="1"/>
        <v>0</v>
      </c>
      <c r="J94" s="17"/>
    </row>
    <row r="95" s="5" customFormat="1" spans="1:10">
      <c r="A95" s="27" t="s">
        <v>41</v>
      </c>
      <c r="B95" s="27">
        <v>30</v>
      </c>
      <c r="C95" s="27" t="s">
        <v>144</v>
      </c>
      <c r="D95" s="27" t="s">
        <v>16</v>
      </c>
      <c r="E95" s="27">
        <v>11.193</v>
      </c>
      <c r="F95" s="28">
        <f>_xlfn.STDEV.S(E95:E97)</f>
        <v>0.114505822268273</v>
      </c>
      <c r="G95" s="29">
        <f t="shared" si="1"/>
        <v>0.0131115833333333</v>
      </c>
      <c r="J95" s="17"/>
    </row>
    <row r="96" s="5" customFormat="1" spans="1:10">
      <c r="A96" s="27" t="s">
        <v>41</v>
      </c>
      <c r="B96" s="27">
        <v>30</v>
      </c>
      <c r="C96" s="27" t="s">
        <v>144</v>
      </c>
      <c r="D96" s="27" t="s">
        <v>18</v>
      </c>
      <c r="E96" s="27">
        <v>11.0145</v>
      </c>
      <c r="F96" s="28"/>
      <c r="G96" s="29">
        <f t="shared" si="1"/>
        <v>0</v>
      </c>
      <c r="J96" s="17"/>
    </row>
    <row r="97" s="5" customFormat="1" spans="1:10">
      <c r="A97" s="27" t="s">
        <v>41</v>
      </c>
      <c r="B97" s="27">
        <v>30</v>
      </c>
      <c r="C97" s="27" t="s">
        <v>144</v>
      </c>
      <c r="D97" s="27" t="s">
        <v>20</v>
      </c>
      <c r="E97" s="27">
        <v>11.228</v>
      </c>
      <c r="F97" s="28"/>
      <c r="G97" s="29">
        <f t="shared" si="1"/>
        <v>0</v>
      </c>
      <c r="J97" s="17"/>
    </row>
    <row r="98" s="6" customFormat="1" spans="1:10">
      <c r="A98" s="30" t="s">
        <v>70</v>
      </c>
      <c r="B98" s="30">
        <v>30</v>
      </c>
      <c r="C98" s="30" t="s">
        <v>148</v>
      </c>
      <c r="D98" s="30" t="s">
        <v>16</v>
      </c>
      <c r="E98" s="30">
        <v>9.961</v>
      </c>
      <c r="F98" s="31">
        <f>_xlfn.STDEV.S(E98:E100)</f>
        <v>0.357657075050017</v>
      </c>
      <c r="G98" s="32">
        <f t="shared" si="1"/>
        <v>0.127918583333333</v>
      </c>
      <c r="H98" s="6">
        <f>AVERAGE(G98:G113)</f>
        <v>0.264234796875</v>
      </c>
      <c r="I98" s="73" t="s">
        <v>327</v>
      </c>
      <c r="J98" s="17"/>
    </row>
    <row r="99" s="6" customFormat="1" spans="1:10">
      <c r="A99" s="30" t="s">
        <v>70</v>
      </c>
      <c r="B99" s="30">
        <v>30</v>
      </c>
      <c r="C99" s="30" t="s">
        <v>148</v>
      </c>
      <c r="D99" s="30" t="s">
        <v>18</v>
      </c>
      <c r="E99" s="30">
        <v>9.6775</v>
      </c>
      <c r="F99" s="31"/>
      <c r="G99" s="32">
        <f t="shared" si="1"/>
        <v>0</v>
      </c>
      <c r="J99" s="17"/>
    </row>
    <row r="100" s="6" customFormat="1" spans="1:10">
      <c r="A100" s="30" t="s">
        <v>70</v>
      </c>
      <c r="B100" s="30">
        <v>30</v>
      </c>
      <c r="C100" s="30" t="s">
        <v>148</v>
      </c>
      <c r="D100" s="30" t="s">
        <v>20</v>
      </c>
      <c r="E100" s="30">
        <v>10.388</v>
      </c>
      <c r="F100" s="31"/>
      <c r="G100" s="32">
        <f t="shared" si="1"/>
        <v>0</v>
      </c>
      <c r="J100" s="17"/>
    </row>
    <row r="101" s="6" customFormat="1" spans="1:10">
      <c r="A101" s="30" t="s">
        <v>70</v>
      </c>
      <c r="B101" s="30">
        <v>30</v>
      </c>
      <c r="C101" s="30" t="s">
        <v>152</v>
      </c>
      <c r="D101" s="30" t="s">
        <v>16</v>
      </c>
      <c r="E101" s="30">
        <v>8.8235</v>
      </c>
      <c r="F101" s="31">
        <f>_xlfn.STDEV.S(E101:E103)</f>
        <v>0.269022303908059</v>
      </c>
      <c r="G101" s="32">
        <f t="shared" si="1"/>
        <v>0.0723729999999999</v>
      </c>
      <c r="J101" s="17"/>
    </row>
    <row r="102" s="6" customFormat="1" spans="1:10">
      <c r="A102" s="30" t="s">
        <v>70</v>
      </c>
      <c r="B102" s="30">
        <v>30</v>
      </c>
      <c r="C102" s="30" t="s">
        <v>152</v>
      </c>
      <c r="D102" s="30" t="s">
        <v>18</v>
      </c>
      <c r="E102" s="30">
        <v>8.3965</v>
      </c>
      <c r="F102" s="31"/>
      <c r="G102" s="32">
        <f t="shared" si="1"/>
        <v>0</v>
      </c>
      <c r="J102" s="17"/>
    </row>
    <row r="103" s="6" customFormat="1" spans="1:10">
      <c r="A103" s="30" t="s">
        <v>70</v>
      </c>
      <c r="B103" s="30">
        <v>30</v>
      </c>
      <c r="C103" s="30" t="s">
        <v>152</v>
      </c>
      <c r="D103" s="30" t="s">
        <v>20</v>
      </c>
      <c r="E103" s="30">
        <v>8.3265</v>
      </c>
      <c r="F103" s="31"/>
      <c r="G103" s="32">
        <f t="shared" si="1"/>
        <v>0</v>
      </c>
      <c r="J103" s="17"/>
    </row>
    <row r="104" s="6" customFormat="1" spans="1:10">
      <c r="A104" s="30" t="s">
        <v>70</v>
      </c>
      <c r="B104" s="30">
        <v>30</v>
      </c>
      <c r="C104" s="30" t="s">
        <v>156</v>
      </c>
      <c r="D104" s="30" t="s">
        <v>16</v>
      </c>
      <c r="E104" s="30">
        <v>11.0985</v>
      </c>
      <c r="F104" s="31">
        <f>_xlfn.STDEV.S(E104:E106)</f>
        <v>0.732219741607667</v>
      </c>
      <c r="G104" s="32">
        <f t="shared" si="1"/>
        <v>0.536145749999999</v>
      </c>
      <c r="J104" s="17"/>
    </row>
    <row r="105" s="6" customFormat="1" spans="1:10">
      <c r="A105" s="30" t="s">
        <v>70</v>
      </c>
      <c r="B105" s="30">
        <v>30</v>
      </c>
      <c r="C105" s="30" t="s">
        <v>156</v>
      </c>
      <c r="D105" s="30" t="s">
        <v>18</v>
      </c>
      <c r="E105" s="30">
        <v>9.996</v>
      </c>
      <c r="F105" s="31"/>
      <c r="G105" s="32">
        <f t="shared" si="1"/>
        <v>0</v>
      </c>
      <c r="J105" s="17"/>
    </row>
    <row r="106" s="6" customFormat="1" spans="1:10">
      <c r="A106" s="30" t="s">
        <v>70</v>
      </c>
      <c r="B106" s="30">
        <v>30</v>
      </c>
      <c r="C106" s="30" t="s">
        <v>156</v>
      </c>
      <c r="D106" s="30" t="s">
        <v>20</v>
      </c>
      <c r="E106" s="30">
        <v>9.7125</v>
      </c>
      <c r="F106" s="31"/>
      <c r="G106" s="32">
        <f t="shared" si="1"/>
        <v>0</v>
      </c>
      <c r="J106" s="17"/>
    </row>
    <row r="107" s="6" customFormat="1" spans="1:10">
      <c r="A107" s="30" t="s">
        <v>70</v>
      </c>
      <c r="B107" s="30">
        <v>30</v>
      </c>
      <c r="C107" s="30" t="s">
        <v>160</v>
      </c>
      <c r="D107" s="30" t="s">
        <v>16</v>
      </c>
      <c r="E107" s="30">
        <v>9.499</v>
      </c>
      <c r="F107" s="31">
        <f>_xlfn.STDEV.S(E107:E109)</f>
        <v>0.726256325273659</v>
      </c>
      <c r="G107" s="32">
        <f t="shared" si="1"/>
        <v>0.527448249999999</v>
      </c>
      <c r="J107" s="17"/>
    </row>
    <row r="108" s="6" customFormat="1" spans="1:10">
      <c r="A108" s="30" t="s">
        <v>70</v>
      </c>
      <c r="B108" s="30">
        <v>30</v>
      </c>
      <c r="C108" s="30" t="s">
        <v>160</v>
      </c>
      <c r="D108" s="30" t="s">
        <v>18</v>
      </c>
      <c r="E108" s="30">
        <v>10.85</v>
      </c>
      <c r="F108" s="31"/>
      <c r="G108" s="32">
        <f t="shared" si="1"/>
        <v>0</v>
      </c>
      <c r="J108" s="17"/>
    </row>
    <row r="109" s="6" customFormat="1" spans="1:10">
      <c r="A109" s="30" t="s">
        <v>70</v>
      </c>
      <c r="B109" s="30">
        <v>30</v>
      </c>
      <c r="C109" s="30" t="s">
        <v>160</v>
      </c>
      <c r="D109" s="30" t="s">
        <v>20</v>
      </c>
      <c r="E109" s="30">
        <v>10.6365</v>
      </c>
      <c r="F109" s="31"/>
      <c r="G109" s="32">
        <f t="shared" si="1"/>
        <v>0</v>
      </c>
      <c r="J109" s="17"/>
    </row>
    <row r="110" s="6" customFormat="1" spans="1:10">
      <c r="A110" s="30" t="s">
        <v>70</v>
      </c>
      <c r="B110" s="30">
        <v>30</v>
      </c>
      <c r="C110" s="30" t="s">
        <v>164</v>
      </c>
      <c r="D110" s="30" t="s">
        <v>16</v>
      </c>
      <c r="E110" s="30">
        <v>9.002</v>
      </c>
      <c r="F110" s="31">
        <f>_xlfn.STDEV.S(E110:E112)</f>
        <v>0.571801174651936</v>
      </c>
      <c r="G110" s="32">
        <f t="shared" si="1"/>
        <v>0.326956583333334</v>
      </c>
      <c r="J110" s="17"/>
    </row>
    <row r="111" s="6" customFormat="1" spans="1:10">
      <c r="A111" s="30" t="s">
        <v>70</v>
      </c>
      <c r="B111" s="30">
        <v>30</v>
      </c>
      <c r="C111" s="30" t="s">
        <v>164</v>
      </c>
      <c r="D111" s="30" t="s">
        <v>18</v>
      </c>
      <c r="E111" s="30">
        <v>8.8235</v>
      </c>
      <c r="F111" s="31"/>
      <c r="G111" s="32">
        <f t="shared" si="1"/>
        <v>0</v>
      </c>
      <c r="J111" s="17"/>
    </row>
    <row r="112" s="6" customFormat="1" spans="1:10">
      <c r="A112" s="30" t="s">
        <v>70</v>
      </c>
      <c r="B112" s="30">
        <v>30</v>
      </c>
      <c r="C112" s="30" t="s">
        <v>164</v>
      </c>
      <c r="D112" s="30" t="s">
        <v>20</v>
      </c>
      <c r="E112" s="30">
        <v>9.891</v>
      </c>
      <c r="F112" s="31"/>
      <c r="G112" s="32">
        <f t="shared" si="1"/>
        <v>0</v>
      </c>
      <c r="J112" s="17"/>
    </row>
    <row r="113" s="6" customFormat="1" spans="1:10">
      <c r="A113" s="30" t="s">
        <v>70</v>
      </c>
      <c r="B113" s="30">
        <v>30</v>
      </c>
      <c r="C113" s="30" t="s">
        <v>168</v>
      </c>
      <c r="D113" s="30" t="s">
        <v>16</v>
      </c>
      <c r="E113" s="30">
        <v>9.2505</v>
      </c>
      <c r="F113" s="31">
        <f>_xlfn.STDEV.S(E113:E115)</f>
        <v>1.62385793200432</v>
      </c>
      <c r="G113" s="32">
        <f t="shared" si="1"/>
        <v>2.63691458333333</v>
      </c>
      <c r="J113" s="17"/>
    </row>
    <row r="114" s="6" customFormat="1" spans="1:10">
      <c r="A114" s="30" t="s">
        <v>70</v>
      </c>
      <c r="B114" s="30">
        <v>30</v>
      </c>
      <c r="C114" s="30" t="s">
        <v>168</v>
      </c>
      <c r="D114" s="30" t="s">
        <v>18</v>
      </c>
      <c r="E114" s="30">
        <v>6.083</v>
      </c>
      <c r="F114" s="31"/>
      <c r="G114" s="32">
        <f t="shared" si="1"/>
        <v>0</v>
      </c>
      <c r="J114" s="17"/>
    </row>
    <row r="115" s="6" customFormat="1" spans="1:10">
      <c r="A115" s="30" t="s">
        <v>70</v>
      </c>
      <c r="B115" s="30">
        <v>30</v>
      </c>
      <c r="C115" s="30" t="s">
        <v>168</v>
      </c>
      <c r="D115" s="30" t="s">
        <v>20</v>
      </c>
      <c r="E115" s="30">
        <v>7.0455</v>
      </c>
      <c r="F115" s="31"/>
      <c r="G115" s="32">
        <f t="shared" si="1"/>
        <v>0</v>
      </c>
      <c r="J115" s="17"/>
    </row>
    <row r="116" s="7" customFormat="1" spans="1:10">
      <c r="A116" s="33" t="s">
        <v>70</v>
      </c>
      <c r="B116" s="33">
        <v>25</v>
      </c>
      <c r="C116" s="33" t="s">
        <v>172</v>
      </c>
      <c r="D116" s="33" t="s">
        <v>16</v>
      </c>
      <c r="E116" s="33">
        <v>10.682</v>
      </c>
      <c r="F116" s="34">
        <f>_xlfn.STDEV.S(E116:E118)</f>
        <v>0.297561758295652</v>
      </c>
      <c r="G116" s="35">
        <f t="shared" si="1"/>
        <v>0.088543</v>
      </c>
      <c r="H116" s="7">
        <f>AVERAGE(G116:G131)</f>
        <v>0.0229656875</v>
      </c>
      <c r="I116" s="61" t="s">
        <v>325</v>
      </c>
      <c r="J116" s="17"/>
    </row>
    <row r="117" s="7" customFormat="1" spans="1:10">
      <c r="A117" s="33" t="s">
        <v>70</v>
      </c>
      <c r="B117" s="33">
        <v>25</v>
      </c>
      <c r="C117" s="33" t="s">
        <v>172</v>
      </c>
      <c r="D117" s="33" t="s">
        <v>18</v>
      </c>
      <c r="E117" s="33">
        <v>10.185</v>
      </c>
      <c r="F117" s="34"/>
      <c r="G117" s="35">
        <f t="shared" si="1"/>
        <v>0</v>
      </c>
      <c r="J117" s="17"/>
    </row>
    <row r="118" s="7" customFormat="1" spans="1:10">
      <c r="A118" s="33" t="s">
        <v>70</v>
      </c>
      <c r="B118" s="33">
        <v>25</v>
      </c>
      <c r="C118" s="33" t="s">
        <v>172</v>
      </c>
      <c r="D118" s="33" t="s">
        <v>20</v>
      </c>
      <c r="E118" s="33">
        <v>10.15</v>
      </c>
      <c r="F118" s="34"/>
      <c r="G118" s="35">
        <f t="shared" si="1"/>
        <v>0</v>
      </c>
      <c r="J118" s="17"/>
    </row>
    <row r="119" s="7" customFormat="1" spans="1:10">
      <c r="A119" s="33" t="s">
        <v>70</v>
      </c>
      <c r="B119" s="33">
        <v>25</v>
      </c>
      <c r="C119" s="33" t="s">
        <v>176</v>
      </c>
      <c r="D119" s="33" t="s">
        <v>16</v>
      </c>
      <c r="E119" s="33">
        <v>11.144</v>
      </c>
      <c r="F119" s="34">
        <f>_xlfn.STDEV.S(E119:E121)</f>
        <v>0.162300903673804</v>
      </c>
      <c r="G119" s="35">
        <f t="shared" si="1"/>
        <v>0.0263415833333334</v>
      </c>
      <c r="J119" s="17"/>
    </row>
    <row r="120" s="7" customFormat="1" spans="1:10">
      <c r="A120" s="33" t="s">
        <v>70</v>
      </c>
      <c r="B120" s="33">
        <v>25</v>
      </c>
      <c r="C120" s="33" t="s">
        <v>176</v>
      </c>
      <c r="D120" s="33" t="s">
        <v>18</v>
      </c>
      <c r="E120" s="33">
        <v>10.8255</v>
      </c>
      <c r="F120" s="34"/>
      <c r="G120" s="35">
        <f t="shared" si="1"/>
        <v>0</v>
      </c>
      <c r="J120" s="17"/>
    </row>
    <row r="121" s="7" customFormat="1" spans="1:10">
      <c r="A121" s="33" t="s">
        <v>70</v>
      </c>
      <c r="B121" s="33">
        <v>25</v>
      </c>
      <c r="C121" s="33" t="s">
        <v>176</v>
      </c>
      <c r="D121" s="33" t="s">
        <v>20</v>
      </c>
      <c r="E121" s="33">
        <v>10.9305</v>
      </c>
      <c r="F121" s="34"/>
      <c r="G121" s="35">
        <f t="shared" si="1"/>
        <v>0</v>
      </c>
      <c r="J121" s="17"/>
    </row>
    <row r="122" s="7" customFormat="1" spans="1:10">
      <c r="A122" s="33" t="s">
        <v>70</v>
      </c>
      <c r="B122" s="33">
        <v>25</v>
      </c>
      <c r="C122" s="33" t="s">
        <v>180</v>
      </c>
      <c r="D122" s="33" t="s">
        <v>16</v>
      </c>
      <c r="E122" s="33">
        <v>9.9015</v>
      </c>
      <c r="F122" s="34">
        <f>_xlfn.STDEV.S(E122:E124)</f>
        <v>0.345284061800329</v>
      </c>
      <c r="G122" s="35">
        <f t="shared" si="1"/>
        <v>0.119221083333333</v>
      </c>
      <c r="J122" s="17"/>
    </row>
    <row r="123" s="7" customFormat="1" spans="1:10">
      <c r="A123" s="33" t="s">
        <v>70</v>
      </c>
      <c r="B123" s="33">
        <v>25</v>
      </c>
      <c r="C123" s="33" t="s">
        <v>180</v>
      </c>
      <c r="D123" s="33" t="s">
        <v>18</v>
      </c>
      <c r="E123" s="33">
        <v>10.3635</v>
      </c>
      <c r="F123" s="34"/>
      <c r="G123" s="35">
        <f t="shared" si="1"/>
        <v>0</v>
      </c>
      <c r="J123" s="17"/>
    </row>
    <row r="124" s="7" customFormat="1" spans="1:10">
      <c r="A124" s="33" t="s">
        <v>70</v>
      </c>
      <c r="B124" s="33">
        <v>25</v>
      </c>
      <c r="C124" s="33" t="s">
        <v>180</v>
      </c>
      <c r="D124" s="33" t="s">
        <v>20</v>
      </c>
      <c r="E124" s="33">
        <v>9.688</v>
      </c>
      <c r="F124" s="34"/>
      <c r="G124" s="35">
        <f t="shared" si="1"/>
        <v>0</v>
      </c>
      <c r="J124" s="17"/>
    </row>
    <row r="125" s="7" customFormat="1" spans="1:10">
      <c r="A125" s="33" t="s">
        <v>70</v>
      </c>
      <c r="B125" s="33">
        <v>25</v>
      </c>
      <c r="C125" s="33" t="s">
        <v>184</v>
      </c>
      <c r="D125" s="33" t="s">
        <v>16</v>
      </c>
      <c r="E125" s="33">
        <v>10.22</v>
      </c>
      <c r="F125" s="34">
        <f>_xlfn.STDEV.S(E125:E127)</f>
        <v>0.261947195696639</v>
      </c>
      <c r="G125" s="35">
        <f t="shared" si="1"/>
        <v>0.0686163333333334</v>
      </c>
      <c r="J125" s="17"/>
    </row>
    <row r="126" s="7" customFormat="1" spans="1:10">
      <c r="A126" s="33" t="s">
        <v>70</v>
      </c>
      <c r="B126" s="33">
        <v>25</v>
      </c>
      <c r="C126" s="33" t="s">
        <v>184</v>
      </c>
      <c r="D126" s="33" t="s">
        <v>18</v>
      </c>
      <c r="E126" s="33">
        <v>9.723</v>
      </c>
      <c r="F126" s="34"/>
      <c r="G126" s="35">
        <f t="shared" si="1"/>
        <v>0</v>
      </c>
      <c r="J126" s="17"/>
    </row>
    <row r="127" s="7" customFormat="1" spans="1:10">
      <c r="A127" s="33" t="s">
        <v>70</v>
      </c>
      <c r="B127" s="33">
        <v>25</v>
      </c>
      <c r="C127" s="33" t="s">
        <v>184</v>
      </c>
      <c r="D127" s="33" t="s">
        <v>20</v>
      </c>
      <c r="E127" s="33">
        <v>9.828</v>
      </c>
      <c r="F127" s="34"/>
      <c r="G127" s="35">
        <f t="shared" si="1"/>
        <v>0</v>
      </c>
      <c r="J127" s="17"/>
    </row>
    <row r="128" s="7" customFormat="1" spans="1:10">
      <c r="A128" s="33" t="s">
        <v>70</v>
      </c>
      <c r="B128" s="33">
        <v>25</v>
      </c>
      <c r="C128" s="33" t="s">
        <v>188</v>
      </c>
      <c r="D128" s="33" t="s">
        <v>16</v>
      </c>
      <c r="E128" s="33">
        <v>10.115</v>
      </c>
      <c r="F128" s="34">
        <f>_xlfn.STDEV.S(E128:E130)</f>
        <v>0.194777437091672</v>
      </c>
      <c r="G128" s="35">
        <f t="shared" si="1"/>
        <v>0.0379382500000001</v>
      </c>
      <c r="J128" s="17"/>
    </row>
    <row r="129" s="7" customFormat="1" spans="1:10">
      <c r="A129" s="33" t="s">
        <v>70</v>
      </c>
      <c r="B129" s="33">
        <v>25</v>
      </c>
      <c r="C129" s="33" t="s">
        <v>188</v>
      </c>
      <c r="D129" s="33" t="s">
        <v>18</v>
      </c>
      <c r="E129" s="33">
        <v>10.4685</v>
      </c>
      <c r="F129" s="34"/>
      <c r="G129" s="35">
        <f t="shared" si="1"/>
        <v>0</v>
      </c>
      <c r="J129" s="17"/>
    </row>
    <row r="130" s="7" customFormat="1" spans="1:10">
      <c r="A130" s="33" t="s">
        <v>70</v>
      </c>
      <c r="B130" s="33">
        <v>25</v>
      </c>
      <c r="C130" s="33" t="s">
        <v>188</v>
      </c>
      <c r="D130" s="33" t="s">
        <v>20</v>
      </c>
      <c r="E130" s="33">
        <v>10.4335</v>
      </c>
      <c r="F130" s="34"/>
      <c r="G130" s="35">
        <f t="shared" si="1"/>
        <v>0</v>
      </c>
      <c r="J130" s="17"/>
    </row>
    <row r="131" s="7" customFormat="1" spans="1:10">
      <c r="A131" s="33" t="s">
        <v>70</v>
      </c>
      <c r="B131" s="33">
        <v>25</v>
      </c>
      <c r="C131" s="33" t="s">
        <v>192</v>
      </c>
      <c r="D131" s="33" t="s">
        <v>16</v>
      </c>
      <c r="E131" s="33">
        <v>10.22</v>
      </c>
      <c r="F131" s="34">
        <f>_xlfn.STDEV.S(E131:E133)</f>
        <v>0.163678801315259</v>
      </c>
      <c r="G131" s="35">
        <f t="shared" ref="G131:G194" si="2">F131^2</f>
        <v>0.02679075</v>
      </c>
      <c r="J131" s="17"/>
    </row>
    <row r="132" s="7" customFormat="1" spans="1:10">
      <c r="A132" s="33" t="s">
        <v>70</v>
      </c>
      <c r="B132" s="33">
        <v>25</v>
      </c>
      <c r="C132" s="33" t="s">
        <v>192</v>
      </c>
      <c r="D132" s="33" t="s">
        <v>18</v>
      </c>
      <c r="E132" s="33">
        <v>9.9365</v>
      </c>
      <c r="F132" s="34"/>
      <c r="G132" s="35">
        <f t="shared" si="2"/>
        <v>0</v>
      </c>
      <c r="J132" s="17"/>
    </row>
    <row r="133" s="7" customFormat="1" spans="1:10">
      <c r="A133" s="33" t="s">
        <v>70</v>
      </c>
      <c r="B133" s="33">
        <v>25</v>
      </c>
      <c r="C133" s="33" t="s">
        <v>192</v>
      </c>
      <c r="D133" s="33" t="s">
        <v>20</v>
      </c>
      <c r="E133" s="33">
        <v>9.9365</v>
      </c>
      <c r="F133" s="34"/>
      <c r="G133" s="35">
        <f t="shared" si="2"/>
        <v>0</v>
      </c>
      <c r="J133" s="17"/>
    </row>
    <row r="134" s="8" customFormat="1" spans="1:10">
      <c r="A134" s="36" t="s">
        <v>41</v>
      </c>
      <c r="B134" s="36">
        <v>25</v>
      </c>
      <c r="C134" s="36" t="s">
        <v>196</v>
      </c>
      <c r="D134" s="36" t="s">
        <v>16</v>
      </c>
      <c r="E134" s="36">
        <v>10.969</v>
      </c>
      <c r="F134" s="37">
        <f>_xlfn.STDEV.S(E134:E136)</f>
        <v>0.559310513042622</v>
      </c>
      <c r="G134" s="38">
        <f t="shared" si="2"/>
        <v>0.312828250000001</v>
      </c>
      <c r="H134" s="8">
        <f>AVERAGE(G134:G149)</f>
        <v>0.134269953125</v>
      </c>
      <c r="I134" s="74" t="s">
        <v>334</v>
      </c>
      <c r="J134" s="17"/>
    </row>
    <row r="135" s="8" customFormat="1" spans="1:10">
      <c r="A135" s="36" t="s">
        <v>41</v>
      </c>
      <c r="B135" s="36">
        <v>25</v>
      </c>
      <c r="C135" s="36" t="s">
        <v>196</v>
      </c>
      <c r="D135" s="36" t="s">
        <v>18</v>
      </c>
      <c r="E135" s="36">
        <v>12.0015</v>
      </c>
      <c r="F135" s="37"/>
      <c r="G135" s="38">
        <f t="shared" si="2"/>
        <v>0</v>
      </c>
      <c r="J135" s="17"/>
    </row>
    <row r="136" s="8" customFormat="1" spans="1:10">
      <c r="A136" s="36" t="s">
        <v>41</v>
      </c>
      <c r="B136" s="36">
        <v>25</v>
      </c>
      <c r="C136" s="36" t="s">
        <v>196</v>
      </c>
      <c r="D136" s="36" t="s">
        <v>20</v>
      </c>
      <c r="E136" s="36">
        <v>11.858</v>
      </c>
      <c r="F136" s="37"/>
      <c r="G136" s="38">
        <f t="shared" si="2"/>
        <v>0</v>
      </c>
      <c r="J136" s="17"/>
    </row>
    <row r="137" s="8" customFormat="1" spans="1:10">
      <c r="A137" s="36" t="s">
        <v>41</v>
      </c>
      <c r="B137" s="36">
        <v>25</v>
      </c>
      <c r="C137" s="36" t="s">
        <v>200</v>
      </c>
      <c r="D137" s="36" t="s">
        <v>16</v>
      </c>
      <c r="E137" s="36">
        <v>10.577</v>
      </c>
      <c r="F137" s="37">
        <f>_xlfn.STDEV.S(E137:E139)</f>
        <v>0.37572463320895</v>
      </c>
      <c r="G137" s="38">
        <f t="shared" si="2"/>
        <v>0.141169</v>
      </c>
      <c r="J137" s="17"/>
    </row>
    <row r="138" s="8" customFormat="1" spans="1:10">
      <c r="A138" s="36" t="s">
        <v>41</v>
      </c>
      <c r="B138" s="36">
        <v>25</v>
      </c>
      <c r="C138" s="36" t="s">
        <v>200</v>
      </c>
      <c r="D138" s="36" t="s">
        <v>18</v>
      </c>
      <c r="E138" s="36">
        <v>11.326</v>
      </c>
      <c r="F138" s="37"/>
      <c r="G138" s="38">
        <f t="shared" si="2"/>
        <v>0</v>
      </c>
      <c r="J138" s="17"/>
    </row>
    <row r="139" s="8" customFormat="1" spans="1:10">
      <c r="A139" s="36" t="s">
        <v>41</v>
      </c>
      <c r="B139" s="36">
        <v>25</v>
      </c>
      <c r="C139" s="36" t="s">
        <v>200</v>
      </c>
      <c r="D139" s="36" t="s">
        <v>20</v>
      </c>
      <c r="E139" s="36">
        <v>10.899</v>
      </c>
      <c r="F139" s="37"/>
      <c r="G139" s="38">
        <f t="shared" si="2"/>
        <v>0</v>
      </c>
      <c r="J139" s="17"/>
    </row>
    <row r="140" s="8" customFormat="1" spans="1:10">
      <c r="A140" s="36" t="s">
        <v>41</v>
      </c>
      <c r="B140" s="36">
        <v>25</v>
      </c>
      <c r="C140" s="36" t="s">
        <v>204</v>
      </c>
      <c r="D140" s="36" t="s">
        <v>16</v>
      </c>
      <c r="E140" s="36">
        <v>11.389</v>
      </c>
      <c r="F140" s="37">
        <f>_xlfn.STDEV.S(E140:E142)</f>
        <v>0.310225858582636</v>
      </c>
      <c r="G140" s="38">
        <f t="shared" si="2"/>
        <v>0.0962400833333335</v>
      </c>
      <c r="J140" s="17"/>
    </row>
    <row r="141" s="8" customFormat="1" spans="1:10">
      <c r="A141" s="36" t="s">
        <v>41</v>
      </c>
      <c r="B141" s="36">
        <v>25</v>
      </c>
      <c r="C141" s="36" t="s">
        <v>204</v>
      </c>
      <c r="D141" s="36" t="s">
        <v>18</v>
      </c>
      <c r="E141" s="36">
        <v>12.0015</v>
      </c>
      <c r="F141" s="37"/>
      <c r="G141" s="38">
        <f t="shared" si="2"/>
        <v>0</v>
      </c>
      <c r="J141" s="17"/>
    </row>
    <row r="142" s="8" customFormat="1" spans="1:10">
      <c r="A142" s="36" t="s">
        <v>41</v>
      </c>
      <c r="B142" s="36">
        <v>25</v>
      </c>
      <c r="C142" s="36" t="s">
        <v>204</v>
      </c>
      <c r="D142" s="36" t="s">
        <v>20</v>
      </c>
      <c r="E142" s="36">
        <v>11.6095</v>
      </c>
      <c r="F142" s="37"/>
      <c r="G142" s="38">
        <f t="shared" si="2"/>
        <v>0</v>
      </c>
      <c r="J142" s="17"/>
    </row>
    <row r="143" s="8" customFormat="1" spans="1:10">
      <c r="A143" s="36" t="s">
        <v>41</v>
      </c>
      <c r="B143" s="36">
        <v>25</v>
      </c>
      <c r="C143" s="36" t="s">
        <v>208</v>
      </c>
      <c r="D143" s="36" t="s">
        <v>16</v>
      </c>
      <c r="E143" s="36">
        <v>10.3635</v>
      </c>
      <c r="F143" s="37">
        <f>_xlfn.STDEV.S(E143:E145)</f>
        <v>0.363500458504983</v>
      </c>
      <c r="G143" s="38">
        <f t="shared" si="2"/>
        <v>0.132132583333333</v>
      </c>
      <c r="J143" s="17"/>
    </row>
    <row r="144" s="8" customFormat="1" spans="1:10">
      <c r="A144" s="36" t="s">
        <v>41</v>
      </c>
      <c r="B144" s="36">
        <v>25</v>
      </c>
      <c r="C144" s="36" t="s">
        <v>208</v>
      </c>
      <c r="D144" s="36" t="s">
        <v>18</v>
      </c>
      <c r="E144" s="36">
        <v>11.039</v>
      </c>
      <c r="F144" s="37"/>
      <c r="G144" s="38">
        <f t="shared" si="2"/>
        <v>0</v>
      </c>
      <c r="J144" s="17"/>
    </row>
    <row r="145" s="8" customFormat="1" spans="1:10">
      <c r="A145" s="36" t="s">
        <v>41</v>
      </c>
      <c r="B145" s="36">
        <v>25</v>
      </c>
      <c r="C145" s="36" t="s">
        <v>208</v>
      </c>
      <c r="D145" s="36" t="s">
        <v>20</v>
      </c>
      <c r="E145" s="36">
        <v>10.934</v>
      </c>
      <c r="F145" s="37"/>
      <c r="G145" s="38">
        <f t="shared" si="2"/>
        <v>0</v>
      </c>
      <c r="J145" s="17"/>
    </row>
    <row r="146" s="8" customFormat="1" spans="1:10">
      <c r="A146" s="36" t="s">
        <v>41</v>
      </c>
      <c r="B146" s="36">
        <v>25</v>
      </c>
      <c r="C146" s="36" t="s">
        <v>212</v>
      </c>
      <c r="D146" s="36" t="s">
        <v>16</v>
      </c>
      <c r="E146" s="36">
        <v>11.1825</v>
      </c>
      <c r="F146" s="37">
        <f>_xlfn.STDEV.S(E146:E148)</f>
        <v>1.06272319224403</v>
      </c>
      <c r="G146" s="38">
        <f t="shared" si="2"/>
        <v>1.12938058333333</v>
      </c>
      <c r="J146" s="17"/>
    </row>
    <row r="147" s="8" customFormat="1" spans="1:10">
      <c r="A147" s="36" t="s">
        <v>41</v>
      </c>
      <c r="B147" s="36">
        <v>25</v>
      </c>
      <c r="C147" s="36" t="s">
        <v>212</v>
      </c>
      <c r="D147" s="36" t="s">
        <v>18</v>
      </c>
      <c r="E147" s="36">
        <v>9.8315</v>
      </c>
      <c r="F147" s="37"/>
      <c r="G147" s="38">
        <f t="shared" si="2"/>
        <v>0</v>
      </c>
      <c r="J147" s="17"/>
    </row>
    <row r="148" s="8" customFormat="1" spans="1:10">
      <c r="A148" s="36" t="s">
        <v>41</v>
      </c>
      <c r="B148" s="36">
        <v>25</v>
      </c>
      <c r="C148" s="36" t="s">
        <v>212</v>
      </c>
      <c r="D148" s="36" t="s">
        <v>20</v>
      </c>
      <c r="E148" s="36">
        <v>11.928</v>
      </c>
      <c r="F148" s="37"/>
      <c r="G148" s="38">
        <f t="shared" si="2"/>
        <v>0</v>
      </c>
      <c r="J148" s="17"/>
    </row>
    <row r="149" s="8" customFormat="1" spans="1:10">
      <c r="A149" s="36" t="s">
        <v>41</v>
      </c>
      <c r="B149" s="36">
        <v>25</v>
      </c>
      <c r="C149" s="36" t="s">
        <v>216</v>
      </c>
      <c r="D149" s="36" t="s">
        <v>16</v>
      </c>
      <c r="E149" s="36">
        <v>10.2935</v>
      </c>
      <c r="F149" s="37">
        <f>_xlfn.STDEV.S(E149:E151)</f>
        <v>0.580145455898778</v>
      </c>
      <c r="G149" s="38">
        <f t="shared" si="2"/>
        <v>0.33656875</v>
      </c>
      <c r="J149" s="17"/>
    </row>
    <row r="150" s="8" customFormat="1" spans="1:10">
      <c r="A150" s="36" t="s">
        <v>41</v>
      </c>
      <c r="B150" s="36">
        <v>25</v>
      </c>
      <c r="C150" s="36" t="s">
        <v>216</v>
      </c>
      <c r="D150" s="36" t="s">
        <v>18</v>
      </c>
      <c r="E150" s="36">
        <v>11.361</v>
      </c>
      <c r="F150" s="37"/>
      <c r="G150" s="38">
        <f t="shared" si="2"/>
        <v>0</v>
      </c>
      <c r="J150" s="17"/>
    </row>
    <row r="151" s="8" customFormat="1" spans="1:10">
      <c r="A151" s="36" t="s">
        <v>41</v>
      </c>
      <c r="B151" s="36">
        <v>25</v>
      </c>
      <c r="C151" s="36" t="s">
        <v>216</v>
      </c>
      <c r="D151" s="36" t="s">
        <v>20</v>
      </c>
      <c r="E151" s="36">
        <v>10.4335</v>
      </c>
      <c r="F151" s="37"/>
      <c r="G151" s="38">
        <f t="shared" si="2"/>
        <v>0</v>
      </c>
      <c r="J151" s="17"/>
    </row>
    <row r="152" s="9" customFormat="1" spans="1:10">
      <c r="A152" s="39" t="s">
        <v>13</v>
      </c>
      <c r="B152" s="39">
        <v>25</v>
      </c>
      <c r="C152" s="39" t="s">
        <v>220</v>
      </c>
      <c r="D152" s="39" t="s">
        <v>16</v>
      </c>
      <c r="E152" s="39">
        <v>9.842</v>
      </c>
      <c r="F152" s="40">
        <f>_xlfn.STDEV.S(E152:E154)</f>
        <v>1.2901682383834</v>
      </c>
      <c r="G152" s="41">
        <f t="shared" si="2"/>
        <v>1.66453408333333</v>
      </c>
      <c r="H152" s="9">
        <f>AVERAGE(G152:G167)</f>
        <v>0.269769244791667</v>
      </c>
      <c r="I152" s="75" t="s">
        <v>342</v>
      </c>
      <c r="J152" s="17"/>
    </row>
    <row r="153" s="9" customFormat="1" spans="1:10">
      <c r="A153" s="39" t="s">
        <v>13</v>
      </c>
      <c r="B153" s="39">
        <v>25</v>
      </c>
      <c r="C153" s="39" t="s">
        <v>220</v>
      </c>
      <c r="D153" s="39" t="s">
        <v>18</v>
      </c>
      <c r="E153" s="39">
        <v>12.1905</v>
      </c>
      <c r="F153" s="40"/>
      <c r="G153" s="41">
        <f t="shared" si="2"/>
        <v>0</v>
      </c>
      <c r="J153" s="17"/>
    </row>
    <row r="154" s="9" customFormat="1" spans="1:10">
      <c r="A154" s="39" t="s">
        <v>13</v>
      </c>
      <c r="B154" s="39">
        <v>25</v>
      </c>
      <c r="C154" s="39" t="s">
        <v>220</v>
      </c>
      <c r="D154" s="39" t="s">
        <v>20</v>
      </c>
      <c r="E154" s="39">
        <v>11.942</v>
      </c>
      <c r="F154" s="40"/>
      <c r="G154" s="41">
        <f t="shared" si="2"/>
        <v>0</v>
      </c>
      <c r="J154" s="17"/>
    </row>
    <row r="155" s="9" customFormat="1" spans="1:10">
      <c r="A155" s="39" t="s">
        <v>13</v>
      </c>
      <c r="B155" s="39">
        <v>25</v>
      </c>
      <c r="C155" s="39" t="s">
        <v>224</v>
      </c>
      <c r="D155" s="39" t="s">
        <v>16</v>
      </c>
      <c r="E155" s="39">
        <v>11.942</v>
      </c>
      <c r="F155" s="40">
        <f>_xlfn.STDEV.S(E155:E157)</f>
        <v>0.413711251962042</v>
      </c>
      <c r="G155" s="41">
        <f t="shared" si="2"/>
        <v>0.171157</v>
      </c>
      <c r="J155" s="17"/>
    </row>
    <row r="156" s="9" customFormat="1" spans="1:10">
      <c r="A156" s="39" t="s">
        <v>13</v>
      </c>
      <c r="B156" s="39">
        <v>25</v>
      </c>
      <c r="C156" s="39" t="s">
        <v>224</v>
      </c>
      <c r="D156" s="39" t="s">
        <v>18</v>
      </c>
      <c r="E156" s="39">
        <v>11.263</v>
      </c>
      <c r="F156" s="40"/>
      <c r="G156" s="41">
        <f t="shared" si="2"/>
        <v>0</v>
      </c>
      <c r="J156" s="17"/>
    </row>
    <row r="157" s="9" customFormat="1" spans="1:10">
      <c r="A157" s="39" t="s">
        <v>13</v>
      </c>
      <c r="B157" s="39">
        <v>25</v>
      </c>
      <c r="C157" s="39" t="s">
        <v>224</v>
      </c>
      <c r="D157" s="39" t="s">
        <v>20</v>
      </c>
      <c r="E157" s="39">
        <v>12.012</v>
      </c>
      <c r="F157" s="40"/>
      <c r="G157" s="41">
        <f t="shared" si="2"/>
        <v>0</v>
      </c>
      <c r="J157" s="17"/>
    </row>
    <row r="158" s="9" customFormat="1" spans="1:10">
      <c r="A158" s="39" t="s">
        <v>13</v>
      </c>
      <c r="B158" s="39">
        <v>25</v>
      </c>
      <c r="C158" s="39" t="s">
        <v>228</v>
      </c>
      <c r="D158" s="39" t="s">
        <v>16</v>
      </c>
      <c r="E158" s="39">
        <v>12.082</v>
      </c>
      <c r="F158" s="40">
        <f>_xlfn.STDEV.S(E158:E160)</f>
        <v>1.01160899066784</v>
      </c>
      <c r="G158" s="41">
        <f t="shared" si="2"/>
        <v>1.02335275</v>
      </c>
      <c r="J158" s="17"/>
    </row>
    <row r="159" s="9" customFormat="1" spans="1:10">
      <c r="A159" s="39" t="s">
        <v>13</v>
      </c>
      <c r="B159" s="39">
        <v>25</v>
      </c>
      <c r="C159" s="39" t="s">
        <v>228</v>
      </c>
      <c r="D159" s="39" t="s">
        <v>18</v>
      </c>
      <c r="E159" s="39">
        <v>13.5065</v>
      </c>
      <c r="F159" s="40"/>
      <c r="G159" s="41">
        <f t="shared" si="2"/>
        <v>0</v>
      </c>
      <c r="J159" s="17"/>
    </row>
    <row r="160" s="9" customFormat="1" spans="1:10">
      <c r="A160" s="39" t="s">
        <v>13</v>
      </c>
      <c r="B160" s="39">
        <v>25</v>
      </c>
      <c r="C160" s="39" t="s">
        <v>228</v>
      </c>
      <c r="D160" s="39" t="s">
        <v>20</v>
      </c>
      <c r="E160" s="39">
        <v>11.55</v>
      </c>
      <c r="F160" s="40"/>
      <c r="G160" s="41">
        <f t="shared" si="2"/>
        <v>0</v>
      </c>
      <c r="J160" s="17"/>
    </row>
    <row r="161" s="9" customFormat="1" spans="1:10">
      <c r="A161" s="39" t="s">
        <v>13</v>
      </c>
      <c r="B161" s="39">
        <v>25</v>
      </c>
      <c r="C161" s="39" t="s">
        <v>232</v>
      </c>
      <c r="D161" s="39" t="s">
        <v>16</v>
      </c>
      <c r="E161" s="39">
        <v>11.977</v>
      </c>
      <c r="F161" s="40">
        <f>_xlfn.STDEV.S(E161:E163)</f>
        <v>0.637490196003044</v>
      </c>
      <c r="G161" s="41">
        <f t="shared" si="2"/>
        <v>0.406393749999999</v>
      </c>
      <c r="J161" s="17"/>
    </row>
    <row r="162" s="9" customFormat="1" spans="1:10">
      <c r="A162" s="39" t="s">
        <v>13</v>
      </c>
      <c r="B162" s="39">
        <v>25</v>
      </c>
      <c r="C162" s="39" t="s">
        <v>232</v>
      </c>
      <c r="D162" s="39" t="s">
        <v>18</v>
      </c>
      <c r="E162" s="39">
        <v>13.0445</v>
      </c>
      <c r="F162" s="40"/>
      <c r="G162" s="41">
        <f t="shared" si="2"/>
        <v>0</v>
      </c>
      <c r="J162" s="17"/>
    </row>
    <row r="163" s="9" customFormat="1" spans="1:10">
      <c r="A163" s="39" t="s">
        <v>13</v>
      </c>
      <c r="B163" s="39">
        <v>25</v>
      </c>
      <c r="C163" s="39" t="s">
        <v>232</v>
      </c>
      <c r="D163" s="39" t="s">
        <v>20</v>
      </c>
      <c r="E163" s="39">
        <v>13.1145</v>
      </c>
      <c r="F163" s="40"/>
      <c r="G163" s="41">
        <f t="shared" si="2"/>
        <v>0</v>
      </c>
      <c r="J163" s="17"/>
    </row>
    <row r="164" s="9" customFormat="1" spans="1:10">
      <c r="A164" s="39" t="s">
        <v>13</v>
      </c>
      <c r="B164" s="39">
        <v>25</v>
      </c>
      <c r="C164" s="39" t="s">
        <v>236</v>
      </c>
      <c r="D164" s="39" t="s">
        <v>16</v>
      </c>
      <c r="E164" s="39">
        <v>11.585</v>
      </c>
      <c r="F164" s="40">
        <f>_xlfn.STDEV.S(E164:E166)</f>
        <v>1.00493892849267</v>
      </c>
      <c r="G164" s="41">
        <f t="shared" si="2"/>
        <v>1.00990225</v>
      </c>
      <c r="J164" s="17"/>
    </row>
    <row r="165" s="9" customFormat="1" spans="1:10">
      <c r="A165" s="39" t="s">
        <v>13</v>
      </c>
      <c r="B165" s="39">
        <v>25</v>
      </c>
      <c r="C165" s="39" t="s">
        <v>236</v>
      </c>
      <c r="D165" s="39" t="s">
        <v>18</v>
      </c>
      <c r="E165" s="39">
        <v>11.3365</v>
      </c>
      <c r="F165" s="40"/>
      <c r="G165" s="41">
        <f t="shared" si="2"/>
        <v>0</v>
      </c>
      <c r="J165" s="17"/>
    </row>
    <row r="166" s="9" customFormat="1" spans="1:10">
      <c r="A166" s="39" t="s">
        <v>13</v>
      </c>
      <c r="B166" s="39">
        <v>25</v>
      </c>
      <c r="C166" s="39" t="s">
        <v>236</v>
      </c>
      <c r="D166" s="39" t="s">
        <v>20</v>
      </c>
      <c r="E166" s="39">
        <v>9.7335</v>
      </c>
      <c r="F166" s="40"/>
      <c r="G166" s="41">
        <f t="shared" si="2"/>
        <v>0</v>
      </c>
      <c r="J166" s="17"/>
    </row>
    <row r="167" s="9" customFormat="1" spans="1:10">
      <c r="A167" s="39" t="s">
        <v>13</v>
      </c>
      <c r="B167" s="39">
        <v>25</v>
      </c>
      <c r="C167" s="39" t="s">
        <v>240</v>
      </c>
      <c r="D167" s="39" t="s">
        <v>16</v>
      </c>
      <c r="E167" s="39">
        <v>9.5935</v>
      </c>
      <c r="F167" s="40">
        <f>_xlfn.STDEV.S(E167:E169)</f>
        <v>0.202405739378441</v>
      </c>
      <c r="G167" s="41">
        <f t="shared" si="2"/>
        <v>0.0409680833333335</v>
      </c>
      <c r="J167" s="17"/>
    </row>
    <row r="168" s="9" customFormat="1" spans="1:10">
      <c r="A168" s="39" t="s">
        <v>13</v>
      </c>
      <c r="B168" s="39">
        <v>25</v>
      </c>
      <c r="C168" s="39" t="s">
        <v>240</v>
      </c>
      <c r="D168" s="39" t="s">
        <v>18</v>
      </c>
      <c r="E168" s="39">
        <v>9.485</v>
      </c>
      <c r="F168" s="40"/>
      <c r="G168" s="41">
        <f t="shared" si="2"/>
        <v>0</v>
      </c>
      <c r="J168" s="17"/>
    </row>
    <row r="169" s="9" customFormat="1" spans="1:10">
      <c r="A169" s="39" t="s">
        <v>13</v>
      </c>
      <c r="B169" s="39">
        <v>25</v>
      </c>
      <c r="C169" s="39" t="s">
        <v>240</v>
      </c>
      <c r="D169" s="39" t="s">
        <v>20</v>
      </c>
      <c r="E169" s="39">
        <v>9.877</v>
      </c>
      <c r="F169" s="40"/>
      <c r="G169" s="41">
        <f t="shared" si="2"/>
        <v>0</v>
      </c>
      <c r="J169" s="17"/>
    </row>
    <row r="170" s="10" customFormat="1" spans="1:10">
      <c r="A170" s="42" t="s">
        <v>70</v>
      </c>
      <c r="B170" s="42">
        <v>15</v>
      </c>
      <c r="C170" s="42" t="s">
        <v>244</v>
      </c>
      <c r="D170" s="42" t="s">
        <v>16</v>
      </c>
      <c r="E170" s="42">
        <v>9.0825</v>
      </c>
      <c r="F170" s="43">
        <f>_xlfn.STDEV.S(E170:E172)</f>
        <v>0.315025924859103</v>
      </c>
      <c r="G170" s="44">
        <f t="shared" si="2"/>
        <v>0.0992413333333329</v>
      </c>
      <c r="H170" s="10">
        <f>AVERAGE(G170:G185)</f>
        <v>0.0433741875</v>
      </c>
      <c r="I170" s="76" t="s">
        <v>323</v>
      </c>
      <c r="J170" s="17"/>
    </row>
    <row r="171" s="10" customFormat="1" spans="1:10">
      <c r="A171" s="42" t="s">
        <v>70</v>
      </c>
      <c r="B171" s="42">
        <v>15</v>
      </c>
      <c r="C171" s="42" t="s">
        <v>244</v>
      </c>
      <c r="D171" s="42" t="s">
        <v>18</v>
      </c>
      <c r="E171" s="42">
        <v>8.9425</v>
      </c>
      <c r="F171" s="43"/>
      <c r="G171" s="44">
        <f t="shared" si="2"/>
        <v>0</v>
      </c>
      <c r="J171" s="17"/>
    </row>
    <row r="172" s="10" customFormat="1" spans="1:10">
      <c r="A172" s="42" t="s">
        <v>70</v>
      </c>
      <c r="B172" s="42">
        <v>15</v>
      </c>
      <c r="C172" s="42" t="s">
        <v>244</v>
      </c>
      <c r="D172" s="42" t="s">
        <v>20</v>
      </c>
      <c r="E172" s="42">
        <v>9.5445</v>
      </c>
      <c r="F172" s="43"/>
      <c r="G172" s="44">
        <f t="shared" si="2"/>
        <v>0</v>
      </c>
      <c r="J172" s="17"/>
    </row>
    <row r="173" s="10" customFormat="1" spans="1:10">
      <c r="A173" s="42" t="s">
        <v>70</v>
      </c>
      <c r="B173" s="42">
        <v>15</v>
      </c>
      <c r="C173" s="42" t="s">
        <v>248</v>
      </c>
      <c r="D173" s="42" t="s">
        <v>16</v>
      </c>
      <c r="E173" s="42">
        <v>9.0475</v>
      </c>
      <c r="F173" s="43">
        <f>_xlfn.STDEV.S(E173:E175)</f>
        <v>0.5144563473545</v>
      </c>
      <c r="G173" s="44">
        <f t="shared" si="2"/>
        <v>0.264665333333334</v>
      </c>
      <c r="J173" s="17"/>
    </row>
    <row r="174" s="10" customFormat="1" spans="1:10">
      <c r="A174" s="42" t="s">
        <v>70</v>
      </c>
      <c r="B174" s="42">
        <v>15</v>
      </c>
      <c r="C174" s="42" t="s">
        <v>248</v>
      </c>
      <c r="D174" s="42" t="s">
        <v>18</v>
      </c>
      <c r="E174" s="42">
        <v>9.9015</v>
      </c>
      <c r="F174" s="43"/>
      <c r="G174" s="44">
        <f t="shared" si="2"/>
        <v>0</v>
      </c>
      <c r="J174" s="17"/>
    </row>
    <row r="175" s="10" customFormat="1" spans="1:10">
      <c r="A175" s="42" t="s">
        <v>70</v>
      </c>
      <c r="B175" s="42">
        <v>15</v>
      </c>
      <c r="C175" s="42" t="s">
        <v>248</v>
      </c>
      <c r="D175" s="42" t="s">
        <v>20</v>
      </c>
      <c r="E175" s="42">
        <v>8.9775</v>
      </c>
      <c r="F175" s="43"/>
      <c r="G175" s="44">
        <f t="shared" si="2"/>
        <v>0</v>
      </c>
      <c r="J175" s="17"/>
    </row>
    <row r="176" s="10" customFormat="1" spans="1:10">
      <c r="A176" s="42" t="s">
        <v>70</v>
      </c>
      <c r="B176" s="42">
        <v>15</v>
      </c>
      <c r="C176" s="42" t="s">
        <v>252</v>
      </c>
      <c r="D176" s="42" t="s">
        <v>16</v>
      </c>
      <c r="E176" s="42">
        <v>9.4045</v>
      </c>
      <c r="F176" s="43">
        <f>_xlfn.STDEV.S(E176:E178)</f>
        <v>0.323562332995256</v>
      </c>
      <c r="G176" s="44">
        <f t="shared" si="2"/>
        <v>0.104692583333333</v>
      </c>
      <c r="J176" s="17"/>
    </row>
    <row r="177" s="10" customFormat="1" spans="1:10">
      <c r="A177" s="42" t="s">
        <v>70</v>
      </c>
      <c r="B177" s="42">
        <v>15</v>
      </c>
      <c r="C177" s="42" t="s">
        <v>252</v>
      </c>
      <c r="D177" s="42" t="s">
        <v>18</v>
      </c>
      <c r="E177" s="42">
        <v>9.5095</v>
      </c>
      <c r="F177" s="43"/>
      <c r="G177" s="44">
        <f t="shared" si="2"/>
        <v>0</v>
      </c>
      <c r="J177" s="17"/>
    </row>
    <row r="178" s="10" customFormat="1" spans="1:10">
      <c r="A178" s="42" t="s">
        <v>70</v>
      </c>
      <c r="B178" s="42">
        <v>15</v>
      </c>
      <c r="C178" s="42" t="s">
        <v>252</v>
      </c>
      <c r="D178" s="42" t="s">
        <v>20</v>
      </c>
      <c r="E178" s="42">
        <v>8.904</v>
      </c>
      <c r="F178" s="43"/>
      <c r="G178" s="44">
        <f t="shared" si="2"/>
        <v>0</v>
      </c>
      <c r="J178" s="17"/>
    </row>
    <row r="179" s="10" customFormat="1" spans="1:10">
      <c r="A179" s="42" t="s">
        <v>70</v>
      </c>
      <c r="B179" s="42">
        <v>15</v>
      </c>
      <c r="C179" s="42" t="s">
        <v>256</v>
      </c>
      <c r="D179" s="42" t="s">
        <v>16</v>
      </c>
      <c r="E179" s="42">
        <v>8.6555</v>
      </c>
      <c r="F179" s="43">
        <f>_xlfn.STDEV.S(E179:E181)</f>
        <v>0.363500458504984</v>
      </c>
      <c r="G179" s="44">
        <f t="shared" si="2"/>
        <v>0.132132583333333</v>
      </c>
      <c r="J179" s="17"/>
    </row>
    <row r="180" s="10" customFormat="1" spans="1:10">
      <c r="A180" s="42" t="s">
        <v>70</v>
      </c>
      <c r="B180" s="42">
        <v>15</v>
      </c>
      <c r="C180" s="42" t="s">
        <v>256</v>
      </c>
      <c r="D180" s="42" t="s">
        <v>18</v>
      </c>
      <c r="E180" s="42">
        <v>9.331</v>
      </c>
      <c r="F180" s="43"/>
      <c r="G180" s="44">
        <f t="shared" si="2"/>
        <v>0</v>
      </c>
      <c r="J180" s="17"/>
    </row>
    <row r="181" s="10" customFormat="1" spans="1:10">
      <c r="A181" s="42" t="s">
        <v>70</v>
      </c>
      <c r="B181" s="42">
        <v>15</v>
      </c>
      <c r="C181" s="42" t="s">
        <v>256</v>
      </c>
      <c r="D181" s="42" t="s">
        <v>20</v>
      </c>
      <c r="E181" s="42">
        <v>9.226</v>
      </c>
      <c r="F181" s="43"/>
      <c r="G181" s="44">
        <f t="shared" si="2"/>
        <v>0</v>
      </c>
      <c r="J181" s="17"/>
    </row>
    <row r="182" s="10" customFormat="1" spans="1:10">
      <c r="A182" s="42" t="s">
        <v>70</v>
      </c>
      <c r="B182" s="42">
        <v>15</v>
      </c>
      <c r="C182" s="42" t="s">
        <v>260</v>
      </c>
      <c r="D182" s="42" t="s">
        <v>16</v>
      </c>
      <c r="E182" s="42">
        <v>8.904</v>
      </c>
      <c r="F182" s="43">
        <f>_xlfn.STDEV.S(E182:E184)</f>
        <v>0.128136970985478</v>
      </c>
      <c r="G182" s="44">
        <f t="shared" si="2"/>
        <v>0.0164190833333333</v>
      </c>
      <c r="J182" s="17"/>
    </row>
    <row r="183" s="10" customFormat="1" spans="1:10">
      <c r="A183" s="42" t="s">
        <v>70</v>
      </c>
      <c r="B183" s="42">
        <v>15</v>
      </c>
      <c r="C183" s="42" t="s">
        <v>260</v>
      </c>
      <c r="D183" s="42" t="s">
        <v>18</v>
      </c>
      <c r="E183" s="42">
        <v>8.834</v>
      </c>
      <c r="F183" s="43"/>
      <c r="G183" s="44">
        <f t="shared" si="2"/>
        <v>0</v>
      </c>
      <c r="J183" s="17"/>
    </row>
    <row r="184" s="10" customFormat="1" spans="1:10">
      <c r="A184" s="42" t="s">
        <v>70</v>
      </c>
      <c r="B184" s="42">
        <v>15</v>
      </c>
      <c r="C184" s="42" t="s">
        <v>260</v>
      </c>
      <c r="D184" s="42" t="s">
        <v>20</v>
      </c>
      <c r="E184" s="42">
        <v>9.0825</v>
      </c>
      <c r="F184" s="43"/>
      <c r="G184" s="44">
        <f t="shared" si="2"/>
        <v>0</v>
      </c>
      <c r="J184" s="17"/>
    </row>
    <row r="185" s="10" customFormat="1" spans="1:10">
      <c r="A185" s="42" t="s">
        <v>70</v>
      </c>
      <c r="B185" s="42">
        <v>15</v>
      </c>
      <c r="C185" s="42" t="s">
        <v>264</v>
      </c>
      <c r="D185" s="42" t="s">
        <v>16</v>
      </c>
      <c r="E185" s="42">
        <v>9.4745</v>
      </c>
      <c r="F185" s="43">
        <f>_xlfn.STDEV.S(E185:E187)</f>
        <v>0.277193223822902</v>
      </c>
      <c r="G185" s="44">
        <f t="shared" si="2"/>
        <v>0.0768360833333335</v>
      </c>
      <c r="J185" s="17"/>
    </row>
    <row r="186" s="10" customFormat="1" spans="1:10">
      <c r="A186" s="42" t="s">
        <v>70</v>
      </c>
      <c r="B186" s="42">
        <v>15</v>
      </c>
      <c r="C186" s="42" t="s">
        <v>264</v>
      </c>
      <c r="D186" s="42" t="s">
        <v>18</v>
      </c>
      <c r="E186" s="42">
        <v>9.331</v>
      </c>
      <c r="F186" s="43"/>
      <c r="G186" s="44">
        <f t="shared" si="2"/>
        <v>0</v>
      </c>
      <c r="J186" s="17"/>
    </row>
    <row r="187" s="10" customFormat="1" spans="1:10">
      <c r="A187" s="42" t="s">
        <v>70</v>
      </c>
      <c r="B187" s="42">
        <v>15</v>
      </c>
      <c r="C187" s="42" t="s">
        <v>264</v>
      </c>
      <c r="D187" s="42" t="s">
        <v>20</v>
      </c>
      <c r="E187" s="42">
        <v>9.8665</v>
      </c>
      <c r="F187" s="43"/>
      <c r="G187" s="44">
        <f t="shared" si="2"/>
        <v>0</v>
      </c>
      <c r="J187" s="17"/>
    </row>
    <row r="188" s="11" customFormat="1" spans="1:10">
      <c r="A188" s="45" t="s">
        <v>41</v>
      </c>
      <c r="B188" s="45">
        <v>15</v>
      </c>
      <c r="C188" s="45" t="s">
        <v>268</v>
      </c>
      <c r="D188" s="45" t="s">
        <v>16</v>
      </c>
      <c r="E188" s="45">
        <v>10.8605</v>
      </c>
      <c r="F188" s="46">
        <f>_xlfn.STDEV.S(E188:E190)</f>
        <v>0.267980565215714</v>
      </c>
      <c r="G188" s="47">
        <f t="shared" si="2"/>
        <v>0.0718135833333335</v>
      </c>
      <c r="H188" s="11">
        <f>AVERAGE(G188:G203)</f>
        <v>0.224835223958333</v>
      </c>
      <c r="I188" s="77" t="s">
        <v>332</v>
      </c>
      <c r="J188" s="17"/>
    </row>
    <row r="189" s="11" customFormat="1" spans="1:10">
      <c r="A189" s="45" t="s">
        <v>41</v>
      </c>
      <c r="B189" s="45">
        <v>15</v>
      </c>
      <c r="C189" s="45" t="s">
        <v>268</v>
      </c>
      <c r="D189" s="45" t="s">
        <v>18</v>
      </c>
      <c r="E189" s="45">
        <v>11.109</v>
      </c>
      <c r="F189" s="46"/>
      <c r="G189" s="47">
        <f t="shared" si="2"/>
        <v>0</v>
      </c>
      <c r="J189" s="17"/>
    </row>
    <row r="190" s="11" customFormat="1" spans="1:10">
      <c r="A190" s="45" t="s">
        <v>41</v>
      </c>
      <c r="B190" s="45">
        <v>15</v>
      </c>
      <c r="C190" s="45" t="s">
        <v>268</v>
      </c>
      <c r="D190" s="45" t="s">
        <v>20</v>
      </c>
      <c r="E190" s="45">
        <v>11.396</v>
      </c>
      <c r="F190" s="46"/>
      <c r="G190" s="47">
        <f t="shared" si="2"/>
        <v>0</v>
      </c>
      <c r="J190" s="17"/>
    </row>
    <row r="191" s="11" customFormat="1" spans="1:10">
      <c r="A191" s="45" t="s">
        <v>41</v>
      </c>
      <c r="B191" s="45">
        <v>15</v>
      </c>
      <c r="C191" s="45" t="s">
        <v>272</v>
      </c>
      <c r="D191" s="45" t="s">
        <v>16</v>
      </c>
      <c r="E191" s="45">
        <v>10.577</v>
      </c>
      <c r="F191" s="46">
        <f>_xlfn.STDEV.S(E191:E193)</f>
        <v>0.518815236861834</v>
      </c>
      <c r="G191" s="47">
        <f t="shared" si="2"/>
        <v>0.26916925</v>
      </c>
      <c r="J191" s="17"/>
    </row>
    <row r="192" s="11" customFormat="1" spans="1:10">
      <c r="A192" s="45" t="s">
        <v>41</v>
      </c>
      <c r="B192" s="45">
        <v>15</v>
      </c>
      <c r="C192" s="45" t="s">
        <v>272</v>
      </c>
      <c r="D192" s="45" t="s">
        <v>18</v>
      </c>
      <c r="E192" s="45">
        <v>11.004</v>
      </c>
      <c r="F192" s="46"/>
      <c r="G192" s="47">
        <f t="shared" si="2"/>
        <v>0</v>
      </c>
      <c r="J192" s="17"/>
    </row>
    <row r="193" s="11" customFormat="1" spans="1:10">
      <c r="A193" s="45" t="s">
        <v>41</v>
      </c>
      <c r="B193" s="45">
        <v>15</v>
      </c>
      <c r="C193" s="45" t="s">
        <v>272</v>
      </c>
      <c r="D193" s="45" t="s">
        <v>20</v>
      </c>
      <c r="E193" s="45">
        <v>11.6095</v>
      </c>
      <c r="F193" s="46"/>
      <c r="G193" s="47">
        <f t="shared" si="2"/>
        <v>0</v>
      </c>
      <c r="J193" s="17"/>
    </row>
    <row r="194" s="11" customFormat="1" spans="1:10">
      <c r="A194" s="45" t="s">
        <v>41</v>
      </c>
      <c r="B194" s="45">
        <v>15</v>
      </c>
      <c r="C194" s="45" t="s">
        <v>276</v>
      </c>
      <c r="D194" s="45" t="s">
        <v>16</v>
      </c>
      <c r="E194" s="45">
        <v>11.074</v>
      </c>
      <c r="F194" s="46">
        <f>_xlfn.STDEV.S(E194:E196)</f>
        <v>1.5221861745529</v>
      </c>
      <c r="G194" s="47">
        <f t="shared" si="2"/>
        <v>2.31705075</v>
      </c>
      <c r="J194" s="17"/>
    </row>
    <row r="195" s="11" customFormat="1" spans="1:10">
      <c r="A195" s="45" t="s">
        <v>41</v>
      </c>
      <c r="B195" s="45">
        <v>15</v>
      </c>
      <c r="C195" s="45" t="s">
        <v>276</v>
      </c>
      <c r="D195" s="45" t="s">
        <v>18</v>
      </c>
      <c r="E195" s="45">
        <v>8.05</v>
      </c>
      <c r="F195" s="46"/>
      <c r="G195" s="47">
        <f t="shared" ref="G195:G221" si="3">F195^2</f>
        <v>0</v>
      </c>
      <c r="J195" s="17"/>
    </row>
    <row r="196" s="11" customFormat="1" spans="1:10">
      <c r="A196" s="45" t="s">
        <v>41</v>
      </c>
      <c r="B196" s="45">
        <v>15</v>
      </c>
      <c r="C196" s="45" t="s">
        <v>276</v>
      </c>
      <c r="D196" s="45" t="s">
        <v>20</v>
      </c>
      <c r="E196" s="45">
        <v>9.8665</v>
      </c>
      <c r="F196" s="46"/>
      <c r="G196" s="47">
        <f t="shared" si="3"/>
        <v>0</v>
      </c>
      <c r="J196" s="17"/>
    </row>
    <row r="197" s="11" customFormat="1" spans="1:10">
      <c r="A197" s="45" t="s">
        <v>41</v>
      </c>
      <c r="B197" s="45">
        <v>15</v>
      </c>
      <c r="C197" s="45" t="s">
        <v>280</v>
      </c>
      <c r="D197" s="45" t="s">
        <v>16</v>
      </c>
      <c r="E197" s="45">
        <v>11.928</v>
      </c>
      <c r="F197" s="46">
        <f>_xlfn.STDEV.S(E197:E199)</f>
        <v>0.316403355439436</v>
      </c>
      <c r="G197" s="47">
        <f t="shared" si="3"/>
        <v>0.100111083333334</v>
      </c>
      <c r="J197" s="17"/>
    </row>
    <row r="198" s="11" customFormat="1" spans="1:10">
      <c r="A198" s="45" t="s">
        <v>41</v>
      </c>
      <c r="B198" s="45">
        <v>15</v>
      </c>
      <c r="C198" s="45" t="s">
        <v>280</v>
      </c>
      <c r="D198" s="45" t="s">
        <v>18</v>
      </c>
      <c r="E198" s="45">
        <v>11.466</v>
      </c>
      <c r="F198" s="46"/>
      <c r="G198" s="47">
        <f t="shared" si="3"/>
        <v>0</v>
      </c>
      <c r="J198" s="17"/>
    </row>
    <row r="199" s="11" customFormat="1" spans="1:10">
      <c r="A199" s="45" t="s">
        <v>41</v>
      </c>
      <c r="B199" s="45">
        <v>15</v>
      </c>
      <c r="C199" s="45" t="s">
        <v>280</v>
      </c>
      <c r="D199" s="45" t="s">
        <v>20</v>
      </c>
      <c r="E199" s="45">
        <v>12.0715</v>
      </c>
      <c r="F199" s="46"/>
      <c r="G199" s="47">
        <f t="shared" si="3"/>
        <v>0</v>
      </c>
      <c r="J199" s="17"/>
    </row>
    <row r="200" s="11" customFormat="1" spans="1:10">
      <c r="A200" s="45" t="s">
        <v>41</v>
      </c>
      <c r="B200" s="45">
        <v>15</v>
      </c>
      <c r="C200" s="45" t="s">
        <v>284</v>
      </c>
      <c r="D200" s="45" t="s">
        <v>16</v>
      </c>
      <c r="E200" s="45">
        <v>10.507</v>
      </c>
      <c r="F200" s="46">
        <f>_xlfn.STDEV.S(E200:E202)</f>
        <v>0.89792111754504</v>
      </c>
      <c r="G200" s="47">
        <f t="shared" si="3"/>
        <v>0.806262333333334</v>
      </c>
      <c r="J200" s="17"/>
    </row>
    <row r="201" s="11" customFormat="1" spans="1:10">
      <c r="A201" s="45" t="s">
        <v>41</v>
      </c>
      <c r="B201" s="45">
        <v>15</v>
      </c>
      <c r="C201" s="45" t="s">
        <v>284</v>
      </c>
      <c r="D201" s="45" t="s">
        <v>18</v>
      </c>
      <c r="E201" s="45">
        <v>11.004</v>
      </c>
      <c r="F201" s="46"/>
      <c r="G201" s="47">
        <f t="shared" si="3"/>
        <v>0</v>
      </c>
      <c r="J201" s="17"/>
    </row>
    <row r="202" s="11" customFormat="1" spans="1:10">
      <c r="A202" s="45" t="s">
        <v>41</v>
      </c>
      <c r="B202" s="45">
        <v>15</v>
      </c>
      <c r="C202" s="45" t="s">
        <v>284</v>
      </c>
      <c r="D202" s="45" t="s">
        <v>20</v>
      </c>
      <c r="E202" s="45">
        <v>12.25</v>
      </c>
      <c r="F202" s="46"/>
      <c r="G202" s="47">
        <f t="shared" si="3"/>
        <v>0</v>
      </c>
      <c r="J202" s="17"/>
    </row>
    <row r="203" s="11" customFormat="1" spans="1:10">
      <c r="A203" s="45" t="s">
        <v>41</v>
      </c>
      <c r="B203" s="45">
        <v>15</v>
      </c>
      <c r="C203" s="45" t="s">
        <v>288</v>
      </c>
      <c r="D203" s="45" t="s">
        <v>16</v>
      </c>
      <c r="E203" s="45">
        <v>12.39</v>
      </c>
      <c r="F203" s="46">
        <f>_xlfn.STDEV.S(E203:E205)</f>
        <v>0.18153948147258</v>
      </c>
      <c r="G203" s="47">
        <f t="shared" si="3"/>
        <v>0.0329565833333334</v>
      </c>
      <c r="J203" s="17"/>
    </row>
    <row r="204" s="11" customFormat="1" spans="1:10">
      <c r="A204" s="45" t="s">
        <v>41</v>
      </c>
      <c r="B204" s="45">
        <v>15</v>
      </c>
      <c r="C204" s="45" t="s">
        <v>288</v>
      </c>
      <c r="D204" s="45" t="s">
        <v>18</v>
      </c>
      <c r="E204" s="45">
        <v>12.0365</v>
      </c>
      <c r="F204" s="46"/>
      <c r="G204" s="47">
        <f t="shared" si="3"/>
        <v>0</v>
      </c>
      <c r="J204" s="17"/>
    </row>
    <row r="205" s="11" customFormat="1" spans="1:10">
      <c r="A205" s="45" t="s">
        <v>41</v>
      </c>
      <c r="B205" s="45">
        <v>15</v>
      </c>
      <c r="C205" s="45" t="s">
        <v>288</v>
      </c>
      <c r="D205" s="45" t="s">
        <v>20</v>
      </c>
      <c r="E205" s="45">
        <v>12.1415</v>
      </c>
      <c r="F205" s="46"/>
      <c r="G205" s="47">
        <f t="shared" si="3"/>
        <v>0</v>
      </c>
      <c r="J205" s="17"/>
    </row>
    <row r="206" s="12" customFormat="1" spans="1:10">
      <c r="A206" s="48" t="s">
        <v>13</v>
      </c>
      <c r="B206" s="48">
        <v>15</v>
      </c>
      <c r="C206" s="48" t="s">
        <v>292</v>
      </c>
      <c r="D206" s="48" t="s">
        <v>16</v>
      </c>
      <c r="E206" s="48">
        <v>10.29</v>
      </c>
      <c r="F206" s="49">
        <f>_xlfn.STDEV.S(E206:E208)</f>
        <v>0.458023289073093</v>
      </c>
      <c r="G206" s="50">
        <f t="shared" si="3"/>
        <v>0.209785333333334</v>
      </c>
      <c r="H206" s="12">
        <f>AVERAGE(G206:G221)</f>
        <v>0.0489903020833333</v>
      </c>
      <c r="I206" s="78" t="s">
        <v>340</v>
      </c>
      <c r="J206" s="17"/>
    </row>
    <row r="207" s="12" customFormat="1" spans="1:10">
      <c r="A207" s="48" t="s">
        <v>13</v>
      </c>
      <c r="B207" s="48">
        <v>15</v>
      </c>
      <c r="C207" s="48" t="s">
        <v>292</v>
      </c>
      <c r="D207" s="48" t="s">
        <v>18</v>
      </c>
      <c r="E207" s="48">
        <v>11.144</v>
      </c>
      <c r="F207" s="49"/>
      <c r="G207" s="50">
        <f t="shared" si="3"/>
        <v>0</v>
      </c>
      <c r="J207" s="17"/>
    </row>
    <row r="208" s="12" customFormat="1" spans="1:10">
      <c r="A208" s="48" t="s">
        <v>13</v>
      </c>
      <c r="B208" s="48">
        <v>15</v>
      </c>
      <c r="C208" s="48" t="s">
        <v>292</v>
      </c>
      <c r="D208" s="48" t="s">
        <v>20</v>
      </c>
      <c r="E208" s="48">
        <v>11.004</v>
      </c>
      <c r="F208" s="49"/>
      <c r="G208" s="50">
        <f t="shared" si="3"/>
        <v>0</v>
      </c>
      <c r="J208" s="17"/>
    </row>
    <row r="209" s="12" customFormat="1" spans="1:10">
      <c r="A209" s="48" t="s">
        <v>13</v>
      </c>
      <c r="B209" s="48">
        <v>15</v>
      </c>
      <c r="C209" s="48" t="s">
        <v>296</v>
      </c>
      <c r="D209" s="48" t="s">
        <v>16</v>
      </c>
      <c r="E209" s="48">
        <v>11.8195</v>
      </c>
      <c r="F209" s="49">
        <f>_xlfn.STDEV.S(E209:E211)</f>
        <v>0.324601807347608</v>
      </c>
      <c r="G209" s="50">
        <f t="shared" si="3"/>
        <v>0.105366333333333</v>
      </c>
      <c r="J209" s="17"/>
    </row>
    <row r="210" s="12" customFormat="1" spans="1:10">
      <c r="A210" s="48" t="s">
        <v>13</v>
      </c>
      <c r="B210" s="48">
        <v>15</v>
      </c>
      <c r="C210" s="48" t="s">
        <v>296</v>
      </c>
      <c r="D210" s="48" t="s">
        <v>18</v>
      </c>
      <c r="E210" s="48">
        <v>11.1825</v>
      </c>
      <c r="F210" s="49"/>
      <c r="G210" s="50">
        <f t="shared" si="3"/>
        <v>0</v>
      </c>
      <c r="J210" s="17"/>
    </row>
    <row r="211" s="12" customFormat="1" spans="1:10">
      <c r="A211" s="48" t="s">
        <v>13</v>
      </c>
      <c r="B211" s="48">
        <v>15</v>
      </c>
      <c r="C211" s="48" t="s">
        <v>296</v>
      </c>
      <c r="D211" s="48" t="s">
        <v>20</v>
      </c>
      <c r="E211" s="48">
        <v>11.3925</v>
      </c>
      <c r="F211" s="49"/>
      <c r="G211" s="50">
        <f t="shared" si="3"/>
        <v>0</v>
      </c>
      <c r="J211" s="17"/>
    </row>
    <row r="212" s="12" customFormat="1" spans="1:10">
      <c r="A212" s="48" t="s">
        <v>13</v>
      </c>
      <c r="B212" s="48">
        <v>15</v>
      </c>
      <c r="C212" s="48" t="s">
        <v>300</v>
      </c>
      <c r="D212" s="48" t="s">
        <v>16</v>
      </c>
      <c r="E212" s="48">
        <v>10.7555</v>
      </c>
      <c r="F212" s="49">
        <f>_xlfn.STDEV.S(E212:E214)</f>
        <v>0.427</v>
      </c>
      <c r="G212" s="50">
        <f t="shared" si="3"/>
        <v>0.182329</v>
      </c>
      <c r="J212" s="17"/>
    </row>
    <row r="213" s="12" customFormat="1" spans="1:10">
      <c r="A213" s="48" t="s">
        <v>13</v>
      </c>
      <c r="B213" s="48">
        <v>15</v>
      </c>
      <c r="C213" s="48" t="s">
        <v>300</v>
      </c>
      <c r="D213" s="48" t="s">
        <v>18</v>
      </c>
      <c r="E213" s="48">
        <v>11.1825</v>
      </c>
      <c r="F213" s="49"/>
      <c r="G213" s="50">
        <f t="shared" si="3"/>
        <v>0</v>
      </c>
      <c r="J213" s="17"/>
    </row>
    <row r="214" s="12" customFormat="1" spans="1:10">
      <c r="A214" s="48" t="s">
        <v>13</v>
      </c>
      <c r="B214" s="48">
        <v>15</v>
      </c>
      <c r="C214" s="48" t="s">
        <v>300</v>
      </c>
      <c r="D214" s="48" t="s">
        <v>20</v>
      </c>
      <c r="E214" s="48">
        <v>10.3285</v>
      </c>
      <c r="F214" s="49"/>
      <c r="G214" s="50">
        <f t="shared" si="3"/>
        <v>0</v>
      </c>
      <c r="J214" s="17"/>
    </row>
    <row r="215" s="12" customFormat="1" spans="1:10">
      <c r="A215" s="48" t="s">
        <v>13</v>
      </c>
      <c r="B215" s="48">
        <v>15</v>
      </c>
      <c r="C215" s="48" t="s">
        <v>304</v>
      </c>
      <c r="D215" s="48" t="s">
        <v>16</v>
      </c>
      <c r="E215" s="48">
        <v>11.606</v>
      </c>
      <c r="F215" s="49">
        <f>_xlfn.STDEV.S(E215:E217)</f>
        <v>0.0748214541425115</v>
      </c>
      <c r="G215" s="50">
        <f t="shared" si="3"/>
        <v>0.00559824999999995</v>
      </c>
      <c r="J215" s="17"/>
    </row>
    <row r="216" s="12" customFormat="1" spans="1:10">
      <c r="A216" s="48" t="s">
        <v>13</v>
      </c>
      <c r="B216" s="48">
        <v>15</v>
      </c>
      <c r="C216" s="48" t="s">
        <v>304</v>
      </c>
      <c r="D216" s="48" t="s">
        <v>18</v>
      </c>
      <c r="E216" s="48">
        <v>11.7145</v>
      </c>
      <c r="F216" s="49"/>
      <c r="G216" s="50">
        <f t="shared" si="3"/>
        <v>0</v>
      </c>
      <c r="J216" s="17"/>
    </row>
    <row r="217" s="12" customFormat="1" spans="1:10">
      <c r="A217" s="48" t="s">
        <v>13</v>
      </c>
      <c r="B217" s="48">
        <v>15</v>
      </c>
      <c r="C217" s="48" t="s">
        <v>304</v>
      </c>
      <c r="D217" s="48" t="s">
        <v>20</v>
      </c>
      <c r="E217" s="48">
        <v>11.571</v>
      </c>
      <c r="F217" s="49"/>
      <c r="G217" s="50">
        <f t="shared" si="3"/>
        <v>0</v>
      </c>
      <c r="J217" s="17"/>
    </row>
    <row r="218" s="12" customFormat="1" spans="1:10">
      <c r="A218" s="48" t="s">
        <v>13</v>
      </c>
      <c r="B218" s="48">
        <v>15</v>
      </c>
      <c r="C218" s="48" t="s">
        <v>308</v>
      </c>
      <c r="D218" s="48" t="s">
        <v>16</v>
      </c>
      <c r="E218" s="48">
        <v>11.536</v>
      </c>
      <c r="F218" s="49">
        <f>_xlfn.STDEV.S(E218:E220)</f>
        <v>0.336115431560845</v>
      </c>
      <c r="G218" s="50">
        <f t="shared" si="3"/>
        <v>0.112973583333333</v>
      </c>
      <c r="J218" s="17"/>
    </row>
    <row r="219" s="12" customFormat="1" spans="1:10">
      <c r="A219" s="48" t="s">
        <v>13</v>
      </c>
      <c r="B219" s="48">
        <v>15</v>
      </c>
      <c r="C219" s="48" t="s">
        <v>308</v>
      </c>
      <c r="D219" s="48" t="s">
        <v>18</v>
      </c>
      <c r="E219" s="48">
        <v>10.8955</v>
      </c>
      <c r="F219" s="49"/>
      <c r="G219" s="50">
        <f t="shared" si="3"/>
        <v>0</v>
      </c>
      <c r="J219" s="17"/>
    </row>
    <row r="220" s="12" customFormat="1" spans="1:10">
      <c r="A220" s="48" t="s">
        <v>13</v>
      </c>
      <c r="B220" s="48">
        <v>15</v>
      </c>
      <c r="C220" s="48" t="s">
        <v>308</v>
      </c>
      <c r="D220" s="48" t="s">
        <v>20</v>
      </c>
      <c r="E220" s="48">
        <v>11.3925</v>
      </c>
      <c r="F220" s="49"/>
      <c r="G220" s="50">
        <f t="shared" si="3"/>
        <v>0</v>
      </c>
      <c r="J220" s="17"/>
    </row>
    <row r="221" s="12" customFormat="1" spans="1:10">
      <c r="A221" s="48" t="s">
        <v>13</v>
      </c>
      <c r="B221" s="48">
        <v>15</v>
      </c>
      <c r="C221" s="48" t="s">
        <v>312</v>
      </c>
      <c r="D221" s="48" t="s">
        <v>16</v>
      </c>
      <c r="E221" s="48">
        <v>11.109</v>
      </c>
      <c r="F221" s="49">
        <f>_xlfn.STDEV.S(E221:E223)</f>
        <v>0.409624624910824</v>
      </c>
      <c r="G221" s="50">
        <f t="shared" si="3"/>
        <v>0.167792333333333</v>
      </c>
      <c r="J221" s="17"/>
    </row>
    <row r="222" s="12" customFormat="1" spans="1:10">
      <c r="A222" s="48" t="s">
        <v>13</v>
      </c>
      <c r="B222" s="48">
        <v>15</v>
      </c>
      <c r="C222" s="48" t="s">
        <v>312</v>
      </c>
      <c r="D222" s="48" t="s">
        <v>18</v>
      </c>
      <c r="E222" s="48">
        <v>11.501</v>
      </c>
      <c r="F222" s="49"/>
      <c r="J222" s="17"/>
    </row>
    <row r="223" s="12" customFormat="1" spans="1:10">
      <c r="A223" s="48" t="s">
        <v>13</v>
      </c>
      <c r="B223" s="48">
        <v>15</v>
      </c>
      <c r="C223" s="48" t="s">
        <v>312</v>
      </c>
      <c r="D223" s="48" t="s">
        <v>20</v>
      </c>
      <c r="E223" s="48">
        <v>10.682</v>
      </c>
      <c r="F223" s="49"/>
      <c r="J223" s="1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original_data</vt:lpstr>
      <vt:lpstr>mean_sd</vt:lpstr>
      <vt:lpstr>test</vt:lpstr>
      <vt:lpstr> calculate pool 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真可怕๑</cp:lastModifiedBy>
  <dcterms:created xsi:type="dcterms:W3CDTF">2026-02-03T12:15:00Z</dcterms:created>
  <dcterms:modified xsi:type="dcterms:W3CDTF">2026-05-19T03:19:32Z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4284DA745405483585F940CB81B03AA7_13</vt:lpwstr>
  </property>
  <property fmtid="{D5CDD505-2E9C-101B-9397-08002B2CF9AE}" pid="3" name="KSOProductBuildVer">
    <vt:lpwstr>2052-12.1.0.23542</vt:lpwstr>
  </property>
</Properties>
</file>